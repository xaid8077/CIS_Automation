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ntcon-my.sharepoint.com/personal/mohd_khan2_lntecc_com/Documents/A1. Cable Interconnection Schedules (CIS)/Cable Interconnection Schedule - NC-42/"/>
    </mc:Choice>
  </mc:AlternateContent>
  <xr:revisionPtr revIDLastSave="3291" documentId="8_{E6D166DF-F040-4AE1-8F4C-B12F41E0E321}" xr6:coauthVersionLast="47" xr6:coauthVersionMax="47" xr10:uidLastSave="{E7924F6B-DEFA-49C3-A6EA-1D4184EC274B}"/>
  <bookViews>
    <workbookView xWindow="-108" yWindow="-108" windowWidth="23256" windowHeight="12456" tabRatio="745" xr2:uid="{00000000-000D-0000-FFFF-FFFF00000000}"/>
  </bookViews>
  <sheets>
    <sheet name="Cover" sheetId="10" r:id="rId1"/>
    <sheet name="FIELD ANALOG INST-PLC" sheetId="1" r:id="rId2"/>
    <sheet name="FIELD DIGITAL INST-PLC" sheetId="4" r:id="rId3"/>
    <sheet name="MOV-PLC" sheetId="2" r:id="rId4"/>
    <sheet name="MCC-PLC" sheetId="3" r:id="rId5"/>
    <sheet name="VFD-PLC DIGITAL" sheetId="11" r:id="rId6"/>
    <sheet name="VFD-PLC ANALOG" sheetId="9" r:id="rId7"/>
    <sheet name="TS-PLC" sheetId="18" r:id="rId8"/>
    <sheet name="MOTOR-TS" sheetId="17" r:id="rId9"/>
  </sheets>
  <definedNames>
    <definedName name="_xlnm._FilterDatabase" localSheetId="1" hidden="1">'FIELD ANALOG INST-PLC'!$B$2:$S$32</definedName>
    <definedName name="_xlnm._FilterDatabase" localSheetId="4" hidden="1">'MCC-PLC'!#REF!</definedName>
    <definedName name="_xlnm._FilterDatabase" localSheetId="3" hidden="1">'MOV-PLC'!$L$6:$O$218</definedName>
    <definedName name="_xleta.CONCAT" hidden="1" xlm="1">#NAME?</definedName>
    <definedName name="_xlnm.Print_Area" localSheetId="0">Cover!$A$1:$AF$72</definedName>
    <definedName name="_xlnm.Print_Area" localSheetId="1">'FIELD ANALOG INST-PLC'!$B$2:$S$32</definedName>
    <definedName name="_xlnm.Print_Area" localSheetId="2">'FIELD DIGITAL INST-PLC'!$B$2:$T$18</definedName>
    <definedName name="_xlnm.Print_Area" localSheetId="4">'MCC-PLC'!$B$2:$Q$345</definedName>
    <definedName name="_xlnm.Print_Area" localSheetId="8">'MOTOR-TS'!$B$2:$N$332</definedName>
    <definedName name="_xlnm.Print_Area" localSheetId="3">'MOV-PLC'!$B$2:$P$218</definedName>
    <definedName name="_xlnm.Print_Area" localSheetId="7">'TS-PLC'!$B$2:$T$98</definedName>
    <definedName name="_xlnm.Print_Area" localSheetId="6">'VFD-PLC ANALOG'!$B$2:$P$28</definedName>
    <definedName name="_xlnm.Print_Area" localSheetId="5">'VFD-PLC DIGITAL'!$B$2:$Q$58</definedName>
    <definedName name="_xlnm.Print_Titles" localSheetId="1">'FIELD ANALOG INST-PLC'!$2:$6</definedName>
    <definedName name="_xlnm.Print_Titles" localSheetId="2">'FIELD DIGITAL INST-PLC'!$2:$6</definedName>
    <definedName name="_xlnm.Print_Titles" localSheetId="4">'MCC-PLC'!$2:$6</definedName>
    <definedName name="_xlnm.Print_Titles" localSheetId="8">'MOTOR-TS'!$2:$7</definedName>
    <definedName name="_xlnm.Print_Titles" localSheetId="3">'MOV-PLC'!$2:$6</definedName>
    <definedName name="_xlnm.Print_Titles" localSheetId="7">'TS-PLC'!$2:$6</definedName>
    <definedName name="_xlnm.Print_Titles" localSheetId="6">'VFD-PLC ANALOG'!$2:$6</definedName>
    <definedName name="_xlnm.Print_Titles" localSheetId="5">'VFD-PLC DIGITAL'!$2:$6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13" i="2" l="1" a="1"/>
  <c r="P213" i="2" s="1"/>
  <c r="P203" i="2" a="1"/>
  <c r="P203" i="2" s="1"/>
  <c r="P113" i="2" a="1"/>
  <c r="P113" i="2" s="1"/>
  <c r="P123" i="2" a="1"/>
  <c r="P123" i="2" s="1"/>
  <c r="P133" i="2" a="1"/>
  <c r="P133" i="2" s="1"/>
  <c r="P143" i="2" a="1"/>
  <c r="P143" i="2" s="1"/>
  <c r="P153" i="2" a="1"/>
  <c r="P153" i="2" s="1"/>
  <c r="P163" i="2" a="1"/>
  <c r="P163" i="2" s="1"/>
  <c r="P173" i="2" a="1"/>
  <c r="P173" i="2" s="1"/>
  <c r="P183" i="2" a="1"/>
  <c r="P183" i="2" s="1"/>
  <c r="P193" i="2" a="1"/>
  <c r="P193" i="2" s="1"/>
  <c r="P103" i="2" a="1"/>
  <c r="P103" i="2" s="1"/>
  <c r="P93" i="2" a="1"/>
  <c r="P93" i="2" s="1"/>
  <c r="P83" i="2" a="1"/>
  <c r="P83" i="2" s="1"/>
  <c r="P73" i="2" a="1"/>
  <c r="P73" i="2" s="1"/>
  <c r="P63" i="2" a="1"/>
  <c r="P63" i="2" s="1"/>
  <c r="P53" i="2" a="1"/>
  <c r="P53" i="2" s="1"/>
  <c r="P43" i="2" a="1"/>
  <c r="P43" i="2" s="1"/>
  <c r="P33" i="2" a="1"/>
  <c r="P33" i="2" s="1"/>
  <c r="P23" i="2" a="1"/>
  <c r="P23" i="2" s="1"/>
  <c r="P13" i="2" a="1"/>
  <c r="P13" i="2" s="1"/>
  <c r="Q310" i="3" a="1"/>
  <c r="Q310" i="3" s="1"/>
  <c r="Q300" i="3" a="1"/>
  <c r="Q300" i="3" s="1"/>
  <c r="Q290" i="3" a="1"/>
  <c r="Q290" i="3" s="1"/>
  <c r="Q280" i="3" a="1"/>
  <c r="Q280" i="3" s="1"/>
  <c r="Q268" i="3" a="1"/>
  <c r="Q268" i="3" s="1"/>
  <c r="Q256" i="3" a="1"/>
  <c r="Q256" i="3" s="1"/>
  <c r="Q244" i="3" a="1"/>
  <c r="Q244" i="3" s="1"/>
  <c r="Q232" i="3" a="1"/>
  <c r="Q232" i="3" s="1"/>
  <c r="Q194" i="3" a="1"/>
  <c r="Q194" i="3" s="1"/>
  <c r="Q179" i="3" a="1"/>
  <c r="Q179" i="3" s="1"/>
  <c r="Q164" i="3" a="1"/>
  <c r="Q164" i="3" s="1"/>
  <c r="Q151" i="3" a="1"/>
  <c r="Q151" i="3" s="1"/>
  <c r="Q139" i="3" a="1"/>
  <c r="Q139" i="3" s="1"/>
  <c r="Q127" i="3" a="1"/>
  <c r="Q127" i="3" s="1"/>
  <c r="Q115" i="3" a="1"/>
  <c r="Q115" i="3" s="1"/>
  <c r="Q105" i="3" a="1"/>
  <c r="Q105" i="3" s="1"/>
  <c r="Q93" i="3" a="1"/>
  <c r="Q93" i="3" s="1"/>
  <c r="Q83" i="3" a="1"/>
  <c r="Q83" i="3" s="1"/>
  <c r="Q71" i="3" a="1"/>
  <c r="Q71" i="3" s="1"/>
  <c r="Q61" i="3" a="1"/>
  <c r="Q61" i="3" s="1"/>
  <c r="Q49" i="3" a="1"/>
  <c r="Q49" i="3" s="1"/>
  <c r="Q39" i="3" a="1"/>
  <c r="Q39" i="3" s="1"/>
  <c r="Q27" i="3" a="1"/>
  <c r="Q27" i="3" s="1"/>
  <c r="Q53" i="11" l="1"/>
  <c r="Q43" i="11"/>
  <c r="Q33" i="11"/>
  <c r="Q23" i="11"/>
  <c r="Q13" i="11"/>
  <c r="Q48" i="11" a="1"/>
  <c r="Q48" i="11" s="1"/>
  <c r="Q38" i="11" a="1"/>
  <c r="Q38" i="11" s="1"/>
  <c r="Q28" i="11" a="1"/>
  <c r="Q28" i="11" s="1"/>
  <c r="Q18" i="11" a="1"/>
  <c r="Q18" i="11" s="1"/>
  <c r="Q8" i="11" a="1"/>
  <c r="Q8" i="11" s="1"/>
  <c r="C18" i="11" l="1"/>
  <c r="C28" i="11"/>
  <c r="C38" i="11"/>
  <c r="C48" i="11"/>
  <c r="C8" i="11"/>
  <c r="H320" i="17"/>
  <c r="H319" i="17"/>
  <c r="H318" i="17"/>
  <c r="H317" i="17"/>
  <c r="H316" i="17"/>
  <c r="H315" i="17"/>
  <c r="H314" i="17"/>
  <c r="H313" i="17"/>
  <c r="H312" i="17"/>
  <c r="H311" i="17"/>
  <c r="H310" i="17"/>
  <c r="H309" i="17"/>
  <c r="H308" i="17"/>
  <c r="H307" i="17"/>
  <c r="H306" i="17"/>
  <c r="H305" i="17"/>
  <c r="H304" i="17"/>
  <c r="H303" i="17"/>
  <c r="H302" i="17"/>
  <c r="H301" i="17"/>
  <c r="H300" i="17"/>
  <c r="H299" i="17"/>
  <c r="H298" i="17"/>
  <c r="H297" i="17"/>
  <c r="H284" i="17"/>
  <c r="H283" i="17"/>
  <c r="H282" i="17"/>
  <c r="H281" i="17"/>
  <c r="H280" i="17"/>
  <c r="H279" i="17"/>
  <c r="H278" i="17"/>
  <c r="H277" i="17"/>
  <c r="H276" i="17"/>
  <c r="H275" i="17"/>
  <c r="H274" i="17"/>
  <c r="H273" i="17"/>
  <c r="H272" i="17"/>
  <c r="H271" i="17"/>
  <c r="H270" i="17"/>
  <c r="H269" i="17"/>
  <c r="H268" i="17"/>
  <c r="H267" i="17"/>
  <c r="H266" i="17"/>
  <c r="H265" i="17"/>
  <c r="H264" i="17"/>
  <c r="H263" i="17"/>
  <c r="H262" i="17"/>
  <c r="H261" i="17"/>
  <c r="H248" i="17"/>
  <c r="H247" i="17"/>
  <c r="H246" i="17"/>
  <c r="H245" i="17"/>
  <c r="H244" i="17"/>
  <c r="H243" i="17"/>
  <c r="H242" i="17"/>
  <c r="H241" i="17"/>
  <c r="H240" i="17"/>
  <c r="H239" i="17"/>
  <c r="H238" i="17"/>
  <c r="H237" i="17"/>
  <c r="H236" i="17"/>
  <c r="H235" i="17"/>
  <c r="H234" i="17"/>
  <c r="H233" i="17"/>
  <c r="H232" i="17"/>
  <c r="H231" i="17"/>
  <c r="H230" i="17"/>
  <c r="H229" i="17"/>
  <c r="H228" i="17"/>
  <c r="H227" i="17"/>
  <c r="H226" i="17"/>
  <c r="H225" i="17"/>
  <c r="H212" i="17"/>
  <c r="H211" i="17"/>
  <c r="H210" i="17"/>
  <c r="H209" i="17"/>
  <c r="H208" i="17"/>
  <c r="H207" i="17"/>
  <c r="H206" i="17"/>
  <c r="H205" i="17"/>
  <c r="H204" i="17"/>
  <c r="H203" i="17"/>
  <c r="H202" i="17"/>
  <c r="H201" i="17"/>
  <c r="H200" i="17"/>
  <c r="H199" i="17"/>
  <c r="H198" i="17"/>
  <c r="H197" i="17"/>
  <c r="H196" i="17"/>
  <c r="H195" i="17"/>
  <c r="H194" i="17"/>
  <c r="H193" i="17"/>
  <c r="H192" i="17"/>
  <c r="H191" i="17"/>
  <c r="H190" i="17"/>
  <c r="H189" i="17"/>
  <c r="H176" i="17"/>
  <c r="H175" i="17"/>
  <c r="H174" i="17"/>
  <c r="H173" i="17"/>
  <c r="H172" i="17"/>
  <c r="H171" i="17"/>
  <c r="H170" i="17"/>
  <c r="H169" i="17"/>
  <c r="H168" i="17"/>
  <c r="H167" i="17"/>
  <c r="H166" i="17"/>
  <c r="H165" i="17"/>
  <c r="H164" i="17"/>
  <c r="H163" i="17"/>
  <c r="H162" i="17"/>
  <c r="H161" i="17"/>
  <c r="H160" i="17"/>
  <c r="H159" i="17"/>
  <c r="H158" i="17"/>
  <c r="H157" i="17"/>
  <c r="H156" i="17"/>
  <c r="H155" i="17"/>
  <c r="H154" i="17"/>
  <c r="H153" i="17"/>
  <c r="H140" i="17"/>
  <c r="H139" i="17"/>
  <c r="H138" i="17"/>
  <c r="H137" i="17"/>
  <c r="H136" i="17"/>
  <c r="H135" i="17"/>
  <c r="H134" i="17"/>
  <c r="H133" i="17"/>
  <c r="H132" i="17"/>
  <c r="H131" i="17"/>
  <c r="H130" i="17"/>
  <c r="H129" i="17"/>
  <c r="H128" i="17"/>
  <c r="H127" i="17"/>
  <c r="H126" i="17"/>
  <c r="H125" i="17"/>
  <c r="H124" i="17"/>
  <c r="H123" i="17"/>
  <c r="H122" i="17"/>
  <c r="H121" i="17"/>
  <c r="H120" i="17"/>
  <c r="H119" i="17"/>
  <c r="H118" i="17"/>
  <c r="H117" i="17"/>
  <c r="H104" i="17"/>
  <c r="H103" i="17"/>
  <c r="H102" i="17"/>
  <c r="H101" i="17"/>
  <c r="H100" i="17"/>
  <c r="H99" i="17"/>
  <c r="H98" i="17"/>
  <c r="H97" i="17"/>
  <c r="H96" i="17"/>
  <c r="H95" i="17"/>
  <c r="H94" i="17"/>
  <c r="H93" i="17"/>
  <c r="H92" i="17"/>
  <c r="H91" i="17"/>
  <c r="H90" i="17"/>
  <c r="H89" i="17"/>
  <c r="H88" i="17"/>
  <c r="H87" i="17"/>
  <c r="H86" i="17"/>
  <c r="H85" i="17"/>
  <c r="H84" i="17"/>
  <c r="H83" i="17"/>
  <c r="H82" i="17"/>
  <c r="H81" i="17"/>
  <c r="H68" i="17"/>
  <c r="H67" i="17"/>
  <c r="H66" i="17"/>
  <c r="H65" i="17"/>
  <c r="H64" i="17"/>
  <c r="H63" i="17"/>
  <c r="H62" i="17"/>
  <c r="H61" i="17"/>
  <c r="H60" i="17"/>
  <c r="H59" i="17"/>
  <c r="H58" i="17"/>
  <c r="H57" i="17"/>
  <c r="H56" i="17"/>
  <c r="H55" i="17"/>
  <c r="H54" i="17"/>
  <c r="H53" i="17"/>
  <c r="H52" i="17"/>
  <c r="H51" i="17"/>
  <c r="H50" i="17"/>
  <c r="H49" i="17"/>
  <c r="H48" i="17"/>
  <c r="H47" i="17"/>
  <c r="H46" i="17"/>
  <c r="H45" i="17"/>
  <c r="K320" i="17"/>
  <c r="K319" i="17"/>
  <c r="K318" i="17"/>
  <c r="K317" i="17"/>
  <c r="K316" i="17"/>
  <c r="K315" i="17"/>
  <c r="K314" i="17"/>
  <c r="K313" i="17"/>
  <c r="K312" i="17"/>
  <c r="K311" i="17"/>
  <c r="K310" i="17"/>
  <c r="K309" i="17"/>
  <c r="K308" i="17"/>
  <c r="K307" i="17"/>
  <c r="K306" i="17"/>
  <c r="K305" i="17"/>
  <c r="K304" i="17"/>
  <c r="K303" i="17"/>
  <c r="K302" i="17"/>
  <c r="K301" i="17"/>
  <c r="K300" i="17"/>
  <c r="K299" i="17"/>
  <c r="K298" i="17"/>
  <c r="K297" i="17"/>
  <c r="K284" i="17"/>
  <c r="K283" i="17"/>
  <c r="K282" i="17"/>
  <c r="K281" i="17"/>
  <c r="K280" i="17"/>
  <c r="K279" i="17"/>
  <c r="K278" i="17"/>
  <c r="K277" i="17"/>
  <c r="K276" i="17"/>
  <c r="K275" i="17"/>
  <c r="K274" i="17"/>
  <c r="K273" i="17"/>
  <c r="K272" i="17"/>
  <c r="K271" i="17"/>
  <c r="K270" i="17"/>
  <c r="K269" i="17"/>
  <c r="K268" i="17"/>
  <c r="K267" i="17"/>
  <c r="K266" i="17"/>
  <c r="K265" i="17"/>
  <c r="K264" i="17"/>
  <c r="K263" i="17"/>
  <c r="K262" i="17"/>
  <c r="K261" i="17"/>
  <c r="K248" i="17"/>
  <c r="K247" i="17"/>
  <c r="K246" i="17"/>
  <c r="K245" i="17"/>
  <c r="K244" i="17"/>
  <c r="K243" i="17"/>
  <c r="K242" i="17"/>
  <c r="K241" i="17"/>
  <c r="K240" i="17"/>
  <c r="K239" i="17"/>
  <c r="K238" i="17"/>
  <c r="K237" i="17"/>
  <c r="K236" i="17"/>
  <c r="K235" i="17"/>
  <c r="K234" i="17"/>
  <c r="K233" i="17"/>
  <c r="K232" i="17"/>
  <c r="K231" i="17"/>
  <c r="K230" i="17"/>
  <c r="K229" i="17"/>
  <c r="K228" i="17"/>
  <c r="K227" i="17"/>
  <c r="K226" i="17"/>
  <c r="K225" i="17"/>
  <c r="K212" i="17"/>
  <c r="K211" i="17"/>
  <c r="K210" i="17"/>
  <c r="K209" i="17"/>
  <c r="K208" i="17"/>
  <c r="K207" i="17"/>
  <c r="K206" i="17"/>
  <c r="K205" i="17"/>
  <c r="K204" i="17"/>
  <c r="K203" i="17"/>
  <c r="K202" i="17"/>
  <c r="K201" i="17"/>
  <c r="K200" i="17"/>
  <c r="K199" i="17"/>
  <c r="K198" i="17"/>
  <c r="K197" i="17"/>
  <c r="K196" i="17"/>
  <c r="K195" i="17"/>
  <c r="K194" i="17"/>
  <c r="K193" i="17"/>
  <c r="K192" i="17"/>
  <c r="K191" i="17"/>
  <c r="K190" i="17"/>
  <c r="K189" i="17"/>
  <c r="K176" i="17"/>
  <c r="K175" i="17"/>
  <c r="K174" i="17"/>
  <c r="K173" i="17"/>
  <c r="K172" i="17"/>
  <c r="K171" i="17"/>
  <c r="K170" i="17"/>
  <c r="K169" i="17"/>
  <c r="K168" i="17"/>
  <c r="K167" i="17"/>
  <c r="K166" i="17"/>
  <c r="K165" i="17"/>
  <c r="K164" i="17"/>
  <c r="K163" i="17"/>
  <c r="K162" i="17"/>
  <c r="K161" i="17"/>
  <c r="K160" i="17"/>
  <c r="K159" i="17"/>
  <c r="K158" i="17"/>
  <c r="K157" i="17"/>
  <c r="K156" i="17"/>
  <c r="K155" i="17"/>
  <c r="K154" i="17"/>
  <c r="K153" i="17"/>
  <c r="K140" i="17"/>
  <c r="K139" i="17"/>
  <c r="K138" i="17"/>
  <c r="K137" i="17"/>
  <c r="K136" i="17"/>
  <c r="K135" i="17"/>
  <c r="K134" i="17"/>
  <c r="K133" i="17"/>
  <c r="K132" i="17"/>
  <c r="K131" i="17"/>
  <c r="K130" i="17"/>
  <c r="K129" i="17"/>
  <c r="K128" i="17"/>
  <c r="K127" i="17"/>
  <c r="K126" i="17"/>
  <c r="K125" i="17"/>
  <c r="K124" i="17"/>
  <c r="K123" i="17"/>
  <c r="K122" i="17"/>
  <c r="K121" i="17"/>
  <c r="K120" i="17"/>
  <c r="K119" i="17"/>
  <c r="K118" i="17"/>
  <c r="K117" i="17"/>
  <c r="K104" i="17"/>
  <c r="K103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K9" i="17"/>
  <c r="H9" i="17"/>
  <c r="B297" i="17" l="1"/>
  <c r="C297" i="17"/>
  <c r="G297" i="17"/>
  <c r="L297" i="17" s="1"/>
  <c r="M297" i="17"/>
  <c r="L298" i="17" s="1"/>
  <c r="G298" i="17"/>
  <c r="G299" i="17"/>
  <c r="L299" i="17" s="1"/>
  <c r="G300" i="17"/>
  <c r="L300" i="17"/>
  <c r="M300" i="17"/>
  <c r="G301" i="17"/>
  <c r="L301" i="17" s="1"/>
  <c r="G302" i="17"/>
  <c r="L302" i="17" s="1"/>
  <c r="G303" i="17"/>
  <c r="L303" i="17" s="1"/>
  <c r="M303" i="17"/>
  <c r="G304" i="17"/>
  <c r="L304" i="17" s="1"/>
  <c r="G305" i="17"/>
  <c r="L305" i="17"/>
  <c r="G306" i="17"/>
  <c r="L306" i="17" s="1"/>
  <c r="M306" i="17"/>
  <c r="G307" i="17"/>
  <c r="L307" i="17" s="1"/>
  <c r="G308" i="17"/>
  <c r="L308" i="17" s="1"/>
  <c r="G309" i="17"/>
  <c r="L309" i="17"/>
  <c r="M309" i="17"/>
  <c r="G310" i="17"/>
  <c r="L310" i="17"/>
  <c r="G311" i="17"/>
  <c r="L311" i="17" s="1"/>
  <c r="G312" i="17"/>
  <c r="L312" i="17" s="1"/>
  <c r="M312" i="17"/>
  <c r="G313" i="17"/>
  <c r="L313" i="17" s="1"/>
  <c r="G314" i="17"/>
  <c r="L314" i="17"/>
  <c r="G315" i="17"/>
  <c r="L315" i="17"/>
  <c r="M315" i="17"/>
  <c r="G316" i="17"/>
  <c r="L316" i="17" s="1"/>
  <c r="G317" i="17"/>
  <c r="L317" i="17" s="1"/>
  <c r="G318" i="17"/>
  <c r="L318" i="17"/>
  <c r="M318" i="17"/>
  <c r="G319" i="17"/>
  <c r="L319" i="17"/>
  <c r="G320" i="17"/>
  <c r="L320" i="17"/>
  <c r="B261" i="17"/>
  <c r="C261" i="17" s="1"/>
  <c r="G261" i="17"/>
  <c r="L261" i="17" s="1"/>
  <c r="M261" i="17"/>
  <c r="G262" i="17"/>
  <c r="L262" i="17" s="1"/>
  <c r="G263" i="17"/>
  <c r="L263" i="17" s="1"/>
  <c r="G264" i="17"/>
  <c r="L264" i="17"/>
  <c r="M264" i="17"/>
  <c r="G265" i="17"/>
  <c r="L265" i="17" s="1"/>
  <c r="G266" i="17"/>
  <c r="L266" i="17" s="1"/>
  <c r="G267" i="17"/>
  <c r="L267" i="17" s="1"/>
  <c r="M267" i="17"/>
  <c r="G268" i="17"/>
  <c r="L268" i="17" s="1"/>
  <c r="G269" i="17"/>
  <c r="L269" i="17"/>
  <c r="G270" i="17"/>
  <c r="G271" i="17"/>
  <c r="G272" i="17"/>
  <c r="G273" i="17"/>
  <c r="M273" i="17"/>
  <c r="L273" i="17" s="1"/>
  <c r="G274" i="17"/>
  <c r="L274" i="17"/>
  <c r="G275" i="17"/>
  <c r="L275" i="17" s="1"/>
  <c r="G276" i="17"/>
  <c r="M276" i="17"/>
  <c r="L276" i="17" s="1"/>
  <c r="G277" i="17"/>
  <c r="L277" i="17" s="1"/>
  <c r="G278" i="17"/>
  <c r="L278" i="17"/>
  <c r="G279" i="17"/>
  <c r="L279" i="17"/>
  <c r="M279" i="17"/>
  <c r="G280" i="17"/>
  <c r="L280" i="17" s="1"/>
  <c r="G281" i="17"/>
  <c r="L281" i="17"/>
  <c r="G282" i="17"/>
  <c r="L282" i="17" s="1"/>
  <c r="M282" i="17"/>
  <c r="G283" i="17"/>
  <c r="L283" i="17"/>
  <c r="G284" i="17"/>
  <c r="L284" i="17" s="1"/>
  <c r="B117" i="17"/>
  <c r="C117" i="17" s="1"/>
  <c r="M117" i="17"/>
  <c r="G118" i="17"/>
  <c r="L118" i="17"/>
  <c r="G119" i="17"/>
  <c r="L119" i="17"/>
  <c r="G120" i="17"/>
  <c r="M120" i="17"/>
  <c r="L120" i="17" s="1"/>
  <c r="G121" i="17"/>
  <c r="L121" i="17" s="1"/>
  <c r="G123" i="17"/>
  <c r="M123" i="17"/>
  <c r="L123" i="17" s="1"/>
  <c r="G124" i="17"/>
  <c r="G125" i="17"/>
  <c r="L125" i="17"/>
  <c r="G126" i="17"/>
  <c r="G128" i="17"/>
  <c r="G129" i="17"/>
  <c r="L129" i="17" s="1"/>
  <c r="M129" i="17"/>
  <c r="G130" i="17"/>
  <c r="L130" i="17"/>
  <c r="G131" i="17"/>
  <c r="L131" i="17" s="1"/>
  <c r="G133" i="17"/>
  <c r="G134" i="17"/>
  <c r="G135" i="17"/>
  <c r="L135" i="17"/>
  <c r="M135" i="17"/>
  <c r="G136" i="17"/>
  <c r="L136" i="17" s="1"/>
  <c r="G137" i="17"/>
  <c r="L137" i="17" s="1"/>
  <c r="G138" i="17"/>
  <c r="L138" i="17"/>
  <c r="M138" i="17"/>
  <c r="G139" i="17"/>
  <c r="L139" i="17" s="1"/>
  <c r="G140" i="17"/>
  <c r="L140" i="17"/>
  <c r="B153" i="17"/>
  <c r="G153" i="17" s="1"/>
  <c r="C153" i="17"/>
  <c r="G157" i="17"/>
  <c r="M162" i="17"/>
  <c r="G168" i="17"/>
  <c r="G173" i="17"/>
  <c r="L173" i="17" s="1"/>
  <c r="B81" i="17"/>
  <c r="C81" i="17"/>
  <c r="G81" i="17"/>
  <c r="L81" i="17" s="1"/>
  <c r="M81" i="17"/>
  <c r="G82" i="17"/>
  <c r="L82" i="17"/>
  <c r="G83" i="17"/>
  <c r="L83" i="17" s="1"/>
  <c r="G84" i="17"/>
  <c r="M84" i="17"/>
  <c r="L85" i="17" s="1"/>
  <c r="G85" i="17"/>
  <c r="G86" i="17"/>
  <c r="L86" i="17" s="1"/>
  <c r="G87" i="17"/>
  <c r="L87" i="17" s="1"/>
  <c r="M87" i="17"/>
  <c r="L88" i="17" s="1"/>
  <c r="G88" i="17"/>
  <c r="G89" i="17"/>
  <c r="L89" i="17"/>
  <c r="G90" i="17"/>
  <c r="L90" i="17" s="1"/>
  <c r="M90" i="17"/>
  <c r="G91" i="17"/>
  <c r="L91" i="17" s="1"/>
  <c r="G92" i="17"/>
  <c r="L92" i="17" s="1"/>
  <c r="G93" i="17"/>
  <c r="M93" i="17"/>
  <c r="L93" i="17" s="1"/>
  <c r="G94" i="17"/>
  <c r="L94" i="17" s="1"/>
  <c r="G95" i="17"/>
  <c r="L95" i="17" s="1"/>
  <c r="G96" i="17"/>
  <c r="L96" i="17"/>
  <c r="M96" i="17"/>
  <c r="G97" i="17"/>
  <c r="L97" i="17" s="1"/>
  <c r="G98" i="17"/>
  <c r="L98" i="17"/>
  <c r="G99" i="17"/>
  <c r="L99" i="17"/>
  <c r="M99" i="17"/>
  <c r="G100" i="17"/>
  <c r="L100" i="17" s="1"/>
  <c r="G101" i="17"/>
  <c r="L101" i="17"/>
  <c r="G102" i="17"/>
  <c r="L102" i="17"/>
  <c r="M102" i="17"/>
  <c r="G103" i="17"/>
  <c r="L103" i="17"/>
  <c r="G104" i="17"/>
  <c r="L104" i="17"/>
  <c r="C45" i="17"/>
  <c r="B45" i="17"/>
  <c r="M45" i="17" s="1"/>
  <c r="G45" i="17"/>
  <c r="G46" i="17"/>
  <c r="G47" i="17"/>
  <c r="G48" i="17"/>
  <c r="M48" i="17"/>
  <c r="L48" i="17" s="1"/>
  <c r="G49" i="17"/>
  <c r="L49" i="17"/>
  <c r="G50" i="17"/>
  <c r="L50" i="17" s="1"/>
  <c r="G51" i="17"/>
  <c r="L51" i="17" s="1"/>
  <c r="M51" i="17"/>
  <c r="G52" i="17"/>
  <c r="G53" i="17"/>
  <c r="G54" i="17"/>
  <c r="M54" i="17"/>
  <c r="L54" i="17" s="1"/>
  <c r="G55" i="17"/>
  <c r="G56" i="17"/>
  <c r="L56" i="17" s="1"/>
  <c r="G57" i="17"/>
  <c r="M57" i="17"/>
  <c r="L57" i="17" s="1"/>
  <c r="G58" i="17"/>
  <c r="L58" i="17" s="1"/>
  <c r="G59" i="17"/>
  <c r="L59" i="17" s="1"/>
  <c r="G60" i="17"/>
  <c r="L60" i="17" s="1"/>
  <c r="M60" i="17"/>
  <c r="G61" i="17"/>
  <c r="L61" i="17" s="1"/>
  <c r="G62" i="17"/>
  <c r="L62" i="17"/>
  <c r="G63" i="17"/>
  <c r="L63" i="17"/>
  <c r="M63" i="17"/>
  <c r="G64" i="17"/>
  <c r="L64" i="17" s="1"/>
  <c r="G65" i="17"/>
  <c r="L65" i="17" s="1"/>
  <c r="G66" i="17"/>
  <c r="L66" i="17" s="1"/>
  <c r="M66" i="17"/>
  <c r="G67" i="17"/>
  <c r="L67" i="17" s="1"/>
  <c r="G68" i="17"/>
  <c r="L68" i="17"/>
  <c r="M30" i="17"/>
  <c r="M27" i="17"/>
  <c r="M24" i="17"/>
  <c r="M21" i="17"/>
  <c r="M18" i="17"/>
  <c r="M15" i="17"/>
  <c r="M12" i="17"/>
  <c r="L26" i="17"/>
  <c r="M9" i="17"/>
  <c r="G32" i="17"/>
  <c r="G31" i="17"/>
  <c r="G30" i="17"/>
  <c r="G29" i="17"/>
  <c r="G28" i="17"/>
  <c r="G27" i="17"/>
  <c r="G26" i="17"/>
  <c r="G25" i="17"/>
  <c r="G24" i="17"/>
  <c r="G23" i="17"/>
  <c r="L23" i="17" s="1"/>
  <c r="G22" i="17"/>
  <c r="G21" i="17"/>
  <c r="G20" i="17"/>
  <c r="G19" i="17"/>
  <c r="L19" i="17" s="1"/>
  <c r="G18" i="17"/>
  <c r="G17" i="17"/>
  <c r="G16" i="17"/>
  <c r="G15" i="17"/>
  <c r="L15" i="17" s="1"/>
  <c r="L31" i="17"/>
  <c r="L22" i="17"/>
  <c r="L21" i="17"/>
  <c r="G14" i="17"/>
  <c r="G13" i="17"/>
  <c r="L13" i="17" s="1"/>
  <c r="G12" i="17"/>
  <c r="L12" i="17" s="1"/>
  <c r="G11" i="17"/>
  <c r="L11" i="17" s="1"/>
  <c r="G10" i="17"/>
  <c r="G9" i="17"/>
  <c r="L9" i="17" s="1"/>
  <c r="L32" i="17"/>
  <c r="L30" i="17"/>
  <c r="L29" i="17"/>
  <c r="L28" i="17"/>
  <c r="L27" i="17"/>
  <c r="L20" i="17"/>
  <c r="L18" i="17"/>
  <c r="L17" i="17"/>
  <c r="L16" i="17"/>
  <c r="L14" i="17"/>
  <c r="L10" i="17"/>
  <c r="G4" i="17"/>
  <c r="G2" i="17"/>
  <c r="C3" i="17"/>
  <c r="C3" i="18"/>
  <c r="H92" i="18"/>
  <c r="H91" i="18"/>
  <c r="H90" i="18"/>
  <c r="I89" i="18"/>
  <c r="I90" i="18" s="1"/>
  <c r="I91" i="18" s="1"/>
  <c r="I92" i="18" s="1"/>
  <c r="H89" i="18"/>
  <c r="Q88" i="18"/>
  <c r="P92" i="18" s="1"/>
  <c r="O88" i="18"/>
  <c r="J88" i="18"/>
  <c r="H88" i="18"/>
  <c r="H82" i="18"/>
  <c r="H81" i="18"/>
  <c r="H80" i="18"/>
  <c r="I79" i="18"/>
  <c r="I80" i="18" s="1"/>
  <c r="I81" i="18" s="1"/>
  <c r="I82" i="18" s="1"/>
  <c r="H79" i="18"/>
  <c r="Q78" i="18"/>
  <c r="P82" i="18" s="1"/>
  <c r="O78" i="18"/>
  <c r="H78" i="18"/>
  <c r="J72" i="18"/>
  <c r="H72" i="18"/>
  <c r="J71" i="18"/>
  <c r="H71" i="18"/>
  <c r="H70" i="18"/>
  <c r="J69" i="18"/>
  <c r="I69" i="18"/>
  <c r="I70" i="18" s="1"/>
  <c r="I71" i="18" s="1"/>
  <c r="I72" i="18" s="1"/>
  <c r="H69" i="18"/>
  <c r="Q68" i="18"/>
  <c r="P71" i="18" s="1"/>
  <c r="P68" i="18"/>
  <c r="O68" i="18"/>
  <c r="H68" i="18"/>
  <c r="I62" i="18"/>
  <c r="H62" i="18"/>
  <c r="J61" i="18"/>
  <c r="H61" i="18"/>
  <c r="H60" i="18"/>
  <c r="P59" i="18"/>
  <c r="J59" i="18"/>
  <c r="I59" i="18"/>
  <c r="I60" i="18" s="1"/>
  <c r="H59" i="18"/>
  <c r="Q58" i="18"/>
  <c r="P60" i="18" s="1"/>
  <c r="O58" i="18"/>
  <c r="J58" i="18"/>
  <c r="H58" i="18"/>
  <c r="H52" i="18"/>
  <c r="H51" i="18"/>
  <c r="H50" i="18"/>
  <c r="I49" i="18"/>
  <c r="I50" i="18" s="1"/>
  <c r="I51" i="18" s="1"/>
  <c r="I52" i="18" s="1"/>
  <c r="H49" i="18"/>
  <c r="Q48" i="18"/>
  <c r="J51" i="18" s="1"/>
  <c r="O48" i="18"/>
  <c r="H48" i="18"/>
  <c r="H42" i="18"/>
  <c r="H41" i="18"/>
  <c r="H40" i="18"/>
  <c r="I39" i="18"/>
  <c r="I40" i="18" s="1"/>
  <c r="I41" i="18" s="1"/>
  <c r="I42" i="18" s="1"/>
  <c r="H39" i="18"/>
  <c r="Q38" i="18"/>
  <c r="P40" i="18" s="1"/>
  <c r="O38" i="18"/>
  <c r="H38" i="18"/>
  <c r="T42" i="18" s="1"/>
  <c r="H32" i="18"/>
  <c r="I31" i="18"/>
  <c r="I32" i="18" s="1"/>
  <c r="H31" i="18"/>
  <c r="H30" i="18"/>
  <c r="I29" i="18"/>
  <c r="H29" i="18"/>
  <c r="Q28" i="18"/>
  <c r="P30" i="18" s="1"/>
  <c r="P28" i="18"/>
  <c r="O28" i="18"/>
  <c r="J28" i="18"/>
  <c r="H28" i="18"/>
  <c r="H22" i="18"/>
  <c r="J21" i="18"/>
  <c r="H21" i="18"/>
  <c r="H20" i="18"/>
  <c r="P19" i="18"/>
  <c r="I19" i="18"/>
  <c r="I20" i="18" s="1"/>
  <c r="I21" i="18" s="1"/>
  <c r="I22" i="18" s="1"/>
  <c r="H19" i="18"/>
  <c r="Q18" i="18"/>
  <c r="J20" i="18" s="1"/>
  <c r="O18" i="18"/>
  <c r="J18" i="18"/>
  <c r="H18" i="18"/>
  <c r="H12" i="18"/>
  <c r="J11" i="18"/>
  <c r="H11" i="18"/>
  <c r="P10" i="18"/>
  <c r="H10" i="18"/>
  <c r="P9" i="18"/>
  <c r="I9" i="18"/>
  <c r="I10" i="18" s="1"/>
  <c r="I11" i="18" s="1"/>
  <c r="I12" i="18" s="1"/>
  <c r="H9" i="18"/>
  <c r="Q8" i="18"/>
  <c r="P11" i="18" s="1"/>
  <c r="P8" i="18"/>
  <c r="O8" i="18"/>
  <c r="J8" i="18"/>
  <c r="H8" i="18"/>
  <c r="B18" i="18"/>
  <c r="B28" i="18" s="1"/>
  <c r="B38" i="18" s="1"/>
  <c r="B48" i="18" s="1"/>
  <c r="B58" i="18" s="1"/>
  <c r="B68" i="18" s="1"/>
  <c r="B78" i="18" s="1"/>
  <c r="B88" i="18" s="1"/>
  <c r="J4" i="18"/>
  <c r="J2" i="18"/>
  <c r="M270" i="17" l="1"/>
  <c r="L272" i="17" s="1"/>
  <c r="G162" i="17"/>
  <c r="L162" i="17" s="1"/>
  <c r="B189" i="17"/>
  <c r="M171" i="17"/>
  <c r="L124" i="17"/>
  <c r="G166" i="17"/>
  <c r="L166" i="17" s="1"/>
  <c r="G161" i="17"/>
  <c r="L161" i="17" s="1"/>
  <c r="G156" i="17"/>
  <c r="L156" i="17" s="1"/>
  <c r="G172" i="17"/>
  <c r="L172" i="17" s="1"/>
  <c r="M156" i="17"/>
  <c r="L157" i="17" s="1"/>
  <c r="G165" i="17"/>
  <c r="M159" i="17"/>
  <c r="G167" i="17"/>
  <c r="L167" i="17" s="1"/>
  <c r="G176" i="17"/>
  <c r="L176" i="17" s="1"/>
  <c r="G171" i="17"/>
  <c r="L171" i="17" s="1"/>
  <c r="G170" i="17"/>
  <c r="M174" i="17"/>
  <c r="G154" i="17"/>
  <c r="L154" i="17" s="1"/>
  <c r="M132" i="17"/>
  <c r="L133" i="17" s="1"/>
  <c r="G155" i="17"/>
  <c r="L155" i="17" s="1"/>
  <c r="G175" i="17"/>
  <c r="L175" i="17" s="1"/>
  <c r="G169" i="17"/>
  <c r="G164" i="17"/>
  <c r="L164" i="17" s="1"/>
  <c r="G159" i="17"/>
  <c r="L159" i="17" s="1"/>
  <c r="M153" i="17"/>
  <c r="L153" i="17" s="1"/>
  <c r="G127" i="17"/>
  <c r="G122" i="17"/>
  <c r="L122" i="17" s="1"/>
  <c r="G117" i="17"/>
  <c r="L117" i="17" s="1"/>
  <c r="G160" i="17"/>
  <c r="L160" i="17" s="1"/>
  <c r="G174" i="17"/>
  <c r="L174" i="17" s="1"/>
  <c r="M168" i="17"/>
  <c r="L168" i="17" s="1"/>
  <c r="G132" i="17"/>
  <c r="L132" i="17" s="1"/>
  <c r="M126" i="17"/>
  <c r="L128" i="17" s="1"/>
  <c r="M165" i="17"/>
  <c r="G163" i="17"/>
  <c r="L163" i="17" s="1"/>
  <c r="G158" i="17"/>
  <c r="L158" i="17" s="1"/>
  <c r="L84" i="17"/>
  <c r="L47" i="17"/>
  <c r="L53" i="17"/>
  <c r="L45" i="17"/>
  <c r="L52" i="17"/>
  <c r="L55" i="17"/>
  <c r="L46" i="17"/>
  <c r="L25" i="17"/>
  <c r="L24" i="17"/>
  <c r="P38" i="18"/>
  <c r="P72" i="18"/>
  <c r="T92" i="18"/>
  <c r="T82" i="18"/>
  <c r="J12" i="18"/>
  <c r="P20" i="18"/>
  <c r="P12" i="18"/>
  <c r="J9" i="18"/>
  <c r="T22" i="18"/>
  <c r="J30" i="18"/>
  <c r="P61" i="18"/>
  <c r="P69" i="18"/>
  <c r="T72" i="18"/>
  <c r="J41" i="18"/>
  <c r="J90" i="18"/>
  <c r="P18" i="18"/>
  <c r="P22" i="18"/>
  <c r="J31" i="18"/>
  <c r="P58" i="18"/>
  <c r="J62" i="18"/>
  <c r="J70" i="18"/>
  <c r="P90" i="18"/>
  <c r="J10" i="18"/>
  <c r="T32" i="18"/>
  <c r="P31" i="18"/>
  <c r="P62" i="18"/>
  <c r="T12" i="18"/>
  <c r="T52" i="18"/>
  <c r="T62" i="18"/>
  <c r="P41" i="18"/>
  <c r="J80" i="18"/>
  <c r="J39" i="18"/>
  <c r="P80" i="18"/>
  <c r="J49" i="18"/>
  <c r="J32" i="18"/>
  <c r="P39" i="18"/>
  <c r="P42" i="18"/>
  <c r="P70" i="18"/>
  <c r="J78" i="18"/>
  <c r="P21" i="18"/>
  <c r="J29" i="18"/>
  <c r="P32" i="18"/>
  <c r="J60" i="18"/>
  <c r="J68" i="18"/>
  <c r="P88" i="18"/>
  <c r="J91" i="18"/>
  <c r="P51" i="18"/>
  <c r="J52" i="18"/>
  <c r="J42" i="18"/>
  <c r="P49" i="18"/>
  <c r="P52" i="18"/>
  <c r="J19" i="18"/>
  <c r="J22" i="18"/>
  <c r="P29" i="18"/>
  <c r="J50" i="18"/>
  <c r="P78" i="18"/>
  <c r="J81" i="18"/>
  <c r="P91" i="18"/>
  <c r="P81" i="18"/>
  <c r="J48" i="18"/>
  <c r="J38" i="18"/>
  <c r="J89" i="18"/>
  <c r="J92" i="18"/>
  <c r="J40" i="18"/>
  <c r="P50" i="18"/>
  <c r="P48" i="18"/>
  <c r="J79" i="18"/>
  <c r="J82" i="18"/>
  <c r="P89" i="18"/>
  <c r="P79" i="18"/>
  <c r="J4" i="4"/>
  <c r="J2" i="4"/>
  <c r="L271" i="17" l="1"/>
  <c r="L270" i="17"/>
  <c r="M189" i="17"/>
  <c r="G195" i="17"/>
  <c r="L195" i="17" s="1"/>
  <c r="G200" i="17"/>
  <c r="G205" i="17"/>
  <c r="B225" i="17"/>
  <c r="C189" i="17"/>
  <c r="G209" i="17"/>
  <c r="L209" i="17" s="1"/>
  <c r="G199" i="17"/>
  <c r="L199" i="17" s="1"/>
  <c r="G190" i="17"/>
  <c r="L190" i="17" s="1"/>
  <c r="M210" i="17"/>
  <c r="G192" i="17"/>
  <c r="L192" i="17" s="1"/>
  <c r="M204" i="17"/>
  <c r="M195" i="17"/>
  <c r="G201" i="17"/>
  <c r="L201" i="17" s="1"/>
  <c r="G206" i="17"/>
  <c r="G211" i="17"/>
  <c r="L211" i="17" s="1"/>
  <c r="G197" i="17"/>
  <c r="L197" i="17" s="1"/>
  <c r="G202" i="17"/>
  <c r="L202" i="17" s="1"/>
  <c r="G191" i="17"/>
  <c r="L191" i="17" s="1"/>
  <c r="G196" i="17"/>
  <c r="L196" i="17" s="1"/>
  <c r="G212" i="17"/>
  <c r="L212" i="17" s="1"/>
  <c r="M207" i="17"/>
  <c r="G204" i="17"/>
  <c r="G194" i="17"/>
  <c r="L194" i="17" s="1"/>
  <c r="M201" i="17"/>
  <c r="G207" i="17"/>
  <c r="L207" i="17" s="1"/>
  <c r="M198" i="17"/>
  <c r="M192" i="17"/>
  <c r="G198" i="17"/>
  <c r="L198" i="17" s="1"/>
  <c r="G203" i="17"/>
  <c r="L203" i="17" s="1"/>
  <c r="G208" i="17"/>
  <c r="L208" i="17" s="1"/>
  <c r="G193" i="17"/>
  <c r="L193" i="17" s="1"/>
  <c r="G189" i="17"/>
  <c r="L189" i="17" s="1"/>
  <c r="G210" i="17"/>
  <c r="L210" i="17" s="1"/>
  <c r="L127" i="17"/>
  <c r="L170" i="17"/>
  <c r="L126" i="17"/>
  <c r="L165" i="17"/>
  <c r="L134" i="17"/>
  <c r="L169" i="17"/>
  <c r="O8" i="4"/>
  <c r="L205" i="17" l="1"/>
  <c r="L200" i="17"/>
  <c r="L204" i="17"/>
  <c r="M231" i="17"/>
  <c r="G237" i="17"/>
  <c r="L237" i="17" s="1"/>
  <c r="G242" i="17"/>
  <c r="G247" i="17"/>
  <c r="L247" i="17" s="1"/>
  <c r="M228" i="17"/>
  <c r="G229" i="17"/>
  <c r="L229" i="17" s="1"/>
  <c r="G230" i="17"/>
  <c r="L230" i="17" s="1"/>
  <c r="M240" i="17"/>
  <c r="G241" i="17"/>
  <c r="L241" i="17" s="1"/>
  <c r="G226" i="17"/>
  <c r="G227" i="17"/>
  <c r="G232" i="17"/>
  <c r="M243" i="17"/>
  <c r="M237" i="17"/>
  <c r="G243" i="17"/>
  <c r="L243" i="17" s="1"/>
  <c r="G248" i="17"/>
  <c r="L248" i="17" s="1"/>
  <c r="G234" i="17"/>
  <c r="L234" i="17" s="1"/>
  <c r="G244" i="17"/>
  <c r="L244" i="17" s="1"/>
  <c r="G228" i="17"/>
  <c r="L228" i="17" s="1"/>
  <c r="G233" i="17"/>
  <c r="L233" i="17" s="1"/>
  <c r="G238" i="17"/>
  <c r="L238" i="17" s="1"/>
  <c r="G231" i="17"/>
  <c r="G239" i="17"/>
  <c r="G236" i="17"/>
  <c r="M246" i="17"/>
  <c r="C225" i="17"/>
  <c r="M234" i="17"/>
  <c r="G240" i="17"/>
  <c r="G245" i="17"/>
  <c r="L245" i="17" s="1"/>
  <c r="G225" i="17"/>
  <c r="G235" i="17"/>
  <c r="L235" i="17" s="1"/>
  <c r="G246" i="17"/>
  <c r="L246" i="17" s="1"/>
  <c r="M225" i="17"/>
  <c r="L206" i="17"/>
  <c r="I12" i="11"/>
  <c r="I10" i="11"/>
  <c r="I9" i="11"/>
  <c r="I22" i="11"/>
  <c r="I21" i="11"/>
  <c r="I20" i="11"/>
  <c r="I19" i="11"/>
  <c r="I48" i="3"/>
  <c r="I47" i="3"/>
  <c r="I46" i="3"/>
  <c r="I45" i="3"/>
  <c r="I70" i="3"/>
  <c r="I69" i="3"/>
  <c r="I68" i="3"/>
  <c r="I67" i="3"/>
  <c r="I92" i="3"/>
  <c r="I91" i="3"/>
  <c r="I89" i="3"/>
  <c r="I111" i="3"/>
  <c r="I112" i="3" s="1"/>
  <c r="I113" i="3" s="1"/>
  <c r="I114" i="3" s="1"/>
  <c r="I29" i="11"/>
  <c r="I30" i="11" s="1"/>
  <c r="I31" i="11" s="1"/>
  <c r="I32" i="11" s="1"/>
  <c r="I42" i="11"/>
  <c r="I41" i="11"/>
  <c r="I40" i="11"/>
  <c r="I39" i="11"/>
  <c r="I52" i="11"/>
  <c r="I51" i="11"/>
  <c r="I50" i="11"/>
  <c r="I9" i="9"/>
  <c r="L9" i="9"/>
  <c r="I10" i="9"/>
  <c r="L10" i="9"/>
  <c r="I11" i="9"/>
  <c r="L11" i="9"/>
  <c r="I12" i="9"/>
  <c r="L12" i="9"/>
  <c r="I13" i="9"/>
  <c r="L13" i="9"/>
  <c r="I14" i="9"/>
  <c r="L14" i="9"/>
  <c r="I15" i="9"/>
  <c r="L15" i="9"/>
  <c r="I16" i="9"/>
  <c r="L16" i="9"/>
  <c r="I17" i="9"/>
  <c r="L17" i="9"/>
  <c r="I18" i="9"/>
  <c r="L18" i="9"/>
  <c r="I19" i="9"/>
  <c r="L19" i="9"/>
  <c r="I20" i="9"/>
  <c r="L20" i="9"/>
  <c r="I21" i="9"/>
  <c r="L21" i="9"/>
  <c r="I22" i="9"/>
  <c r="L22" i="9"/>
  <c r="I23" i="9"/>
  <c r="L23" i="9"/>
  <c r="I24" i="9"/>
  <c r="L24" i="9"/>
  <c r="I25" i="9"/>
  <c r="L25" i="9"/>
  <c r="I26" i="9"/>
  <c r="L26" i="9"/>
  <c r="I27" i="9"/>
  <c r="L27" i="9"/>
  <c r="L240" i="17" l="1"/>
  <c r="L225" i="17"/>
  <c r="L242" i="17"/>
  <c r="L232" i="17"/>
  <c r="L239" i="17"/>
  <c r="L227" i="17"/>
  <c r="L236" i="17"/>
  <c r="L231" i="17"/>
  <c r="L226" i="17"/>
  <c r="H24" i="9"/>
  <c r="H25" i="9" s="1"/>
  <c r="H20" i="9"/>
  <c r="H21" i="9" s="1"/>
  <c r="H16" i="9"/>
  <c r="H17" i="9" s="1"/>
  <c r="H13" i="9"/>
  <c r="H12" i="9"/>
  <c r="H9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8" i="9"/>
  <c r="H21" i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H9" i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G8" i="1"/>
  <c r="J209" i="2"/>
  <c r="K209" i="2"/>
  <c r="J210" i="2"/>
  <c r="K210" i="2"/>
  <c r="J211" i="2"/>
  <c r="K211" i="2"/>
  <c r="J212" i="2"/>
  <c r="K212" i="2"/>
  <c r="J213" i="2"/>
  <c r="K213" i="2"/>
  <c r="J214" i="2"/>
  <c r="K214" i="2"/>
  <c r="J215" i="2"/>
  <c r="K215" i="2"/>
  <c r="K208" i="2"/>
  <c r="J208" i="2"/>
  <c r="J199" i="2"/>
  <c r="K199" i="2"/>
  <c r="J200" i="2"/>
  <c r="K200" i="2"/>
  <c r="J201" i="2"/>
  <c r="K201" i="2"/>
  <c r="J202" i="2"/>
  <c r="K202" i="2"/>
  <c r="J203" i="2"/>
  <c r="K203" i="2"/>
  <c r="J204" i="2"/>
  <c r="K204" i="2"/>
  <c r="J205" i="2"/>
  <c r="K205" i="2"/>
  <c r="K198" i="2"/>
  <c r="J198" i="2"/>
  <c r="J189" i="2"/>
  <c r="K189" i="2"/>
  <c r="J190" i="2"/>
  <c r="K190" i="2"/>
  <c r="J191" i="2"/>
  <c r="K191" i="2"/>
  <c r="J192" i="2"/>
  <c r="K192" i="2"/>
  <c r="J193" i="2"/>
  <c r="K193" i="2"/>
  <c r="J194" i="2"/>
  <c r="K194" i="2"/>
  <c r="J195" i="2"/>
  <c r="K195" i="2"/>
  <c r="K188" i="2"/>
  <c r="J188" i="2"/>
  <c r="J179" i="2"/>
  <c r="K179" i="2"/>
  <c r="J180" i="2"/>
  <c r="K180" i="2"/>
  <c r="J181" i="2"/>
  <c r="K181" i="2"/>
  <c r="J182" i="2"/>
  <c r="K182" i="2"/>
  <c r="J183" i="2"/>
  <c r="K183" i="2"/>
  <c r="J184" i="2"/>
  <c r="K184" i="2"/>
  <c r="J185" i="2"/>
  <c r="K185" i="2"/>
  <c r="K178" i="2"/>
  <c r="J178" i="2"/>
  <c r="J169" i="2"/>
  <c r="K169" i="2"/>
  <c r="J170" i="2"/>
  <c r="K170" i="2"/>
  <c r="J171" i="2"/>
  <c r="K171" i="2"/>
  <c r="J172" i="2"/>
  <c r="K172" i="2"/>
  <c r="J173" i="2"/>
  <c r="K173" i="2"/>
  <c r="J174" i="2"/>
  <c r="K174" i="2"/>
  <c r="J175" i="2"/>
  <c r="K175" i="2"/>
  <c r="K168" i="2"/>
  <c r="J168" i="2"/>
  <c r="J149" i="2"/>
  <c r="J150" i="2"/>
  <c r="J151" i="2"/>
  <c r="J152" i="2"/>
  <c r="J153" i="2"/>
  <c r="J154" i="2"/>
  <c r="J155" i="2"/>
  <c r="K149" i="2"/>
  <c r="K150" i="2"/>
  <c r="K151" i="2"/>
  <c r="K152" i="2"/>
  <c r="K153" i="2"/>
  <c r="K154" i="2"/>
  <c r="K155" i="2"/>
  <c r="K148" i="2"/>
  <c r="J148" i="2"/>
  <c r="K140" i="2"/>
  <c r="J139" i="2"/>
  <c r="K139" i="2"/>
  <c r="J140" i="2"/>
  <c r="J141" i="2"/>
  <c r="K141" i="2"/>
  <c r="J142" i="2"/>
  <c r="K142" i="2"/>
  <c r="J143" i="2"/>
  <c r="K143" i="2"/>
  <c r="J144" i="2"/>
  <c r="K144" i="2"/>
  <c r="J145" i="2"/>
  <c r="K145" i="2"/>
  <c r="K138" i="2"/>
  <c r="J138" i="2"/>
  <c r="J129" i="2"/>
  <c r="K129" i="2"/>
  <c r="J130" i="2"/>
  <c r="K130" i="2"/>
  <c r="J131" i="2"/>
  <c r="K131" i="2"/>
  <c r="J132" i="2"/>
  <c r="K132" i="2"/>
  <c r="J133" i="2"/>
  <c r="K133" i="2"/>
  <c r="J134" i="2"/>
  <c r="K134" i="2"/>
  <c r="J135" i="2"/>
  <c r="K135" i="2"/>
  <c r="K128" i="2"/>
  <c r="J128" i="2"/>
  <c r="J119" i="2"/>
  <c r="K119" i="2"/>
  <c r="J120" i="2"/>
  <c r="K120" i="2"/>
  <c r="J121" i="2"/>
  <c r="K121" i="2"/>
  <c r="J122" i="2"/>
  <c r="K122" i="2"/>
  <c r="J123" i="2"/>
  <c r="K123" i="2"/>
  <c r="J124" i="2"/>
  <c r="K124" i="2"/>
  <c r="J125" i="2"/>
  <c r="K125" i="2"/>
  <c r="K118" i="2"/>
  <c r="J118" i="2"/>
  <c r="J109" i="2"/>
  <c r="K109" i="2"/>
  <c r="J110" i="2"/>
  <c r="K110" i="2"/>
  <c r="J111" i="2"/>
  <c r="K111" i="2"/>
  <c r="J112" i="2"/>
  <c r="K112" i="2"/>
  <c r="J113" i="2"/>
  <c r="K113" i="2"/>
  <c r="J114" i="2"/>
  <c r="K114" i="2"/>
  <c r="J115" i="2"/>
  <c r="K115" i="2"/>
  <c r="K108" i="2"/>
  <c r="J108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I214" i="2"/>
  <c r="I215" i="2" s="1"/>
  <c r="I204" i="2"/>
  <c r="I205" i="2" s="1"/>
  <c r="I194" i="2"/>
  <c r="I195" i="2" s="1"/>
  <c r="I184" i="2"/>
  <c r="I185" i="2" s="1"/>
  <c r="I174" i="2"/>
  <c r="I175" i="2" s="1"/>
  <c r="I164" i="2"/>
  <c r="I165" i="2" s="1"/>
  <c r="I155" i="2"/>
  <c r="I144" i="2"/>
  <c r="I145" i="2" s="1"/>
  <c r="I134" i="2"/>
  <c r="I135" i="2" s="1"/>
  <c r="I124" i="2"/>
  <c r="I125" i="2" s="1"/>
  <c r="I114" i="2"/>
  <c r="I115" i="2" s="1"/>
  <c r="I104" i="2"/>
  <c r="I105" i="2" s="1"/>
  <c r="I94" i="2"/>
  <c r="I95" i="2" s="1"/>
  <c r="I84" i="2"/>
  <c r="I85" i="2" s="1"/>
  <c r="I74" i="2"/>
  <c r="I75" i="2" s="1"/>
  <c r="I64" i="2"/>
  <c r="I65" i="2" s="1"/>
  <c r="I54" i="2"/>
  <c r="I55" i="2" s="1"/>
  <c r="I44" i="2"/>
  <c r="I45" i="2" s="1"/>
  <c r="I34" i="2"/>
  <c r="I35" i="2" s="1"/>
  <c r="I25" i="2"/>
  <c r="I14" i="2"/>
  <c r="I15" i="2" s="1"/>
  <c r="M25" i="11"/>
  <c r="M24" i="11"/>
  <c r="M23" i="11"/>
  <c r="J25" i="11"/>
  <c r="J24" i="11"/>
  <c r="J23" i="11"/>
  <c r="H9" i="11"/>
  <c r="H10" i="11"/>
  <c r="H11" i="11"/>
  <c r="H12" i="11"/>
  <c r="H13" i="11"/>
  <c r="H14" i="11"/>
  <c r="H15" i="11"/>
  <c r="H18" i="11"/>
  <c r="H19" i="11"/>
  <c r="H20" i="11"/>
  <c r="H21" i="11"/>
  <c r="H22" i="11"/>
  <c r="H23" i="11"/>
  <c r="H24" i="11"/>
  <c r="H25" i="11"/>
  <c r="H28" i="11"/>
  <c r="H29" i="11"/>
  <c r="H30" i="11"/>
  <c r="H31" i="11"/>
  <c r="H32" i="11"/>
  <c r="H33" i="11"/>
  <c r="H34" i="11"/>
  <c r="H35" i="11"/>
  <c r="H38" i="11"/>
  <c r="H39" i="11"/>
  <c r="H40" i="11"/>
  <c r="H41" i="11"/>
  <c r="H42" i="11"/>
  <c r="H43" i="11"/>
  <c r="H44" i="11"/>
  <c r="H45" i="11"/>
  <c r="H48" i="11"/>
  <c r="H49" i="11"/>
  <c r="H50" i="11"/>
  <c r="H51" i="11"/>
  <c r="H52" i="11"/>
  <c r="H53" i="11"/>
  <c r="H54" i="11"/>
  <c r="H55" i="11"/>
  <c r="H8" i="11"/>
  <c r="I54" i="11"/>
  <c r="I55" i="11" s="1"/>
  <c r="I44" i="11"/>
  <c r="I45" i="11" s="1"/>
  <c r="I34" i="11"/>
  <c r="I35" i="11" s="1"/>
  <c r="I24" i="11"/>
  <c r="I25" i="11" s="1"/>
  <c r="I311" i="3"/>
  <c r="I312" i="3" s="1"/>
  <c r="I301" i="3"/>
  <c r="I302" i="3" s="1"/>
  <c r="I291" i="3"/>
  <c r="I292" i="3" s="1"/>
  <c r="I281" i="3"/>
  <c r="I282" i="3" s="1"/>
  <c r="I270" i="3"/>
  <c r="I257" i="3"/>
  <c r="I258" i="3" s="1"/>
  <c r="I245" i="3"/>
  <c r="I246" i="3" s="1"/>
  <c r="I233" i="3"/>
  <c r="I234" i="3" s="1"/>
  <c r="I195" i="3"/>
  <c r="I196" i="3" s="1"/>
  <c r="I180" i="3"/>
  <c r="I181" i="3" s="1"/>
  <c r="I165" i="3"/>
  <c r="I166" i="3" s="1"/>
  <c r="I152" i="3"/>
  <c r="I153" i="3" s="1"/>
  <c r="I140" i="3"/>
  <c r="I141" i="3" s="1"/>
  <c r="I128" i="3"/>
  <c r="I129" i="3" s="1"/>
  <c r="I116" i="3"/>
  <c r="I117" i="3" s="1"/>
  <c r="I106" i="3"/>
  <c r="I107" i="3" s="1"/>
  <c r="I94" i="3"/>
  <c r="I95" i="3" s="1"/>
  <c r="I84" i="3"/>
  <c r="I85" i="3" s="1"/>
  <c r="I72" i="3"/>
  <c r="I73" i="3" s="1"/>
  <c r="I63" i="3"/>
  <c r="I50" i="3"/>
  <c r="I51" i="3" s="1"/>
  <c r="I40" i="3"/>
  <c r="I41" i="3" s="1"/>
  <c r="I28" i="3"/>
  <c r="I29" i="3" s="1"/>
  <c r="I15" i="11"/>
  <c r="I14" i="11"/>
  <c r="I16" i="3"/>
  <c r="I17" i="3" s="1"/>
  <c r="I287" i="3" l="1"/>
  <c r="I288" i="3" s="1"/>
  <c r="I289" i="3" s="1"/>
  <c r="I295" i="3" s="1"/>
  <c r="I296" i="3" s="1"/>
  <c r="I297" i="3" s="1"/>
  <c r="I298" i="3" s="1"/>
  <c r="I299" i="3" s="1"/>
  <c r="I305" i="3" s="1"/>
  <c r="I306" i="3" s="1"/>
  <c r="I307" i="3" s="1"/>
  <c r="I308" i="3" s="1"/>
  <c r="I309" i="3" s="1"/>
  <c r="I315" i="3" s="1"/>
  <c r="I316" i="3" s="1"/>
  <c r="I318" i="3" s="1"/>
  <c r="I319" i="3" s="1"/>
  <c r="I320" i="3" s="1"/>
  <c r="I325" i="3" s="1"/>
  <c r="I326" i="3" s="1"/>
  <c r="I327" i="3" s="1"/>
  <c r="I328" i="3" s="1"/>
  <c r="I329" i="3" s="1"/>
  <c r="I330" i="3" s="1"/>
  <c r="I335" i="3" s="1"/>
  <c r="I336" i="3" s="1"/>
  <c r="I337" i="3" s="1"/>
  <c r="I338" i="3" s="1"/>
  <c r="I339" i="3" s="1"/>
  <c r="I340" i="3" s="1"/>
  <c r="I262" i="3"/>
  <c r="I237" i="3"/>
  <c r="I238" i="3" s="1"/>
  <c r="I239" i="3" s="1"/>
  <c r="I240" i="3" s="1"/>
  <c r="I241" i="3" s="1"/>
  <c r="I242" i="3" s="1"/>
  <c r="I243" i="3" s="1"/>
  <c r="I249" i="3" s="1"/>
  <c r="I250" i="3" s="1"/>
  <c r="I231" i="3"/>
  <c r="I186" i="3"/>
  <c r="I187" i="3" s="1"/>
  <c r="I188" i="3" s="1"/>
  <c r="I189" i="3" s="1"/>
  <c r="I190" i="3" s="1"/>
  <c r="I191" i="3" s="1"/>
  <c r="I193" i="3" s="1"/>
  <c r="I201" i="3" s="1"/>
  <c r="I202" i="3" s="1"/>
  <c r="I203" i="3" s="1"/>
  <c r="I204" i="3" s="1"/>
  <c r="I205" i="3" s="1"/>
  <c r="I206" i="3" s="1"/>
  <c r="I207" i="3" s="1"/>
  <c r="I208" i="3" s="1"/>
  <c r="I209" i="3" s="1"/>
  <c r="I210" i="3" s="1"/>
  <c r="I211" i="3" s="1"/>
  <c r="I213" i="3" s="1"/>
  <c r="I214" i="3" s="1"/>
  <c r="I172" i="3"/>
  <c r="I173" i="3" s="1"/>
  <c r="I174" i="3" s="1"/>
  <c r="I175" i="3" s="1"/>
  <c r="I176" i="3" s="1"/>
  <c r="I177" i="3" s="1"/>
  <c r="I178" i="3" s="1"/>
  <c r="I157" i="3"/>
  <c r="I158" i="3" s="1"/>
  <c r="I159" i="3" s="1"/>
  <c r="I160" i="3" s="1"/>
  <c r="I161" i="3" s="1"/>
  <c r="I162" i="3" s="1"/>
  <c r="I163" i="3" s="1"/>
  <c r="P118" i="2" a="1"/>
  <c r="P118" i="2" s="1"/>
  <c r="P128" i="2" a="1"/>
  <c r="P128" i="2" s="1"/>
  <c r="P138" i="2" a="1"/>
  <c r="P138" i="2" s="1"/>
  <c r="P148" i="2" a="1"/>
  <c r="P148" i="2" s="1"/>
  <c r="P158" i="2" a="1"/>
  <c r="P158" i="2" s="1"/>
  <c r="P168" i="2" a="1"/>
  <c r="P168" i="2" s="1"/>
  <c r="P178" i="2" a="1"/>
  <c r="P178" i="2" s="1"/>
  <c r="P188" i="2" a="1"/>
  <c r="P188" i="2" s="1"/>
  <c r="P198" i="2" a="1"/>
  <c r="P198" i="2" s="1"/>
  <c r="P208" i="2" a="1"/>
  <c r="P208" i="2" s="1"/>
  <c r="P108" i="2" a="1"/>
  <c r="P108" i="2" s="1"/>
  <c r="P98" i="2" a="1"/>
  <c r="P98" i="2" s="1"/>
  <c r="P88" i="2" a="1"/>
  <c r="P88" i="2" s="1"/>
  <c r="P78" i="2" a="1"/>
  <c r="P78" i="2" s="1"/>
  <c r="P68" i="2" a="1"/>
  <c r="P68" i="2" s="1"/>
  <c r="P58" i="2" a="1"/>
  <c r="P58" i="2" s="1"/>
  <c r="P48" i="2" a="1"/>
  <c r="P48" i="2" s="1"/>
  <c r="P38" i="2" a="1"/>
  <c r="P38" i="2" s="1"/>
  <c r="P28" i="2" a="1"/>
  <c r="P28" i="2" s="1"/>
  <c r="P18" i="2" a="1"/>
  <c r="P18" i="2" s="1"/>
  <c r="P8" i="2" a="1"/>
  <c r="P8" i="2" s="1"/>
  <c r="J12" i="2"/>
  <c r="I199" i="2"/>
  <c r="I168" i="2"/>
  <c r="I132" i="2"/>
  <c r="H212" i="2"/>
  <c r="I170" i="2"/>
  <c r="I171" i="2" s="1"/>
  <c r="I172" i="2" s="1"/>
  <c r="I178" i="2" s="1"/>
  <c r="I179" i="2" s="1"/>
  <c r="I180" i="2" s="1"/>
  <c r="I181" i="2" s="1"/>
  <c r="I182" i="2" s="1"/>
  <c r="I188" i="2" s="1"/>
  <c r="I189" i="2" s="1"/>
  <c r="I190" i="2" s="1"/>
  <c r="I191" i="2" s="1"/>
  <c r="I192" i="2" s="1"/>
  <c r="I198" i="2" s="1"/>
  <c r="I201" i="2" s="1"/>
  <c r="I202" i="2" s="1"/>
  <c r="I208" i="2" s="1"/>
  <c r="I209" i="2" s="1"/>
  <c r="I210" i="2" s="1"/>
  <c r="I211" i="2" s="1"/>
  <c r="I212" i="2" s="1"/>
  <c r="I139" i="2"/>
  <c r="I140" i="2" s="1"/>
  <c r="I141" i="2" s="1"/>
  <c r="I142" i="2" s="1"/>
  <c r="I148" i="2" s="1"/>
  <c r="I149" i="2" s="1"/>
  <c r="I150" i="2" s="1"/>
  <c r="I151" i="2" s="1"/>
  <c r="I152" i="2" s="1"/>
  <c r="I158" i="2" s="1"/>
  <c r="I159" i="2" s="1"/>
  <c r="I160" i="2" s="1"/>
  <c r="I161" i="2" s="1"/>
  <c r="I162" i="2" s="1"/>
  <c r="I40" i="2"/>
  <c r="I41" i="2" s="1"/>
  <c r="I42" i="2" s="1"/>
  <c r="I48" i="2" s="1"/>
  <c r="I49" i="2" s="1"/>
  <c r="I50" i="2" s="1"/>
  <c r="I51" i="2" s="1"/>
  <c r="I52" i="2" s="1"/>
  <c r="I58" i="2" s="1"/>
  <c r="I59" i="2" s="1"/>
  <c r="I60" i="2" s="1"/>
  <c r="I61" i="2" s="1"/>
  <c r="I62" i="2" s="1"/>
  <c r="I68" i="2" s="1"/>
  <c r="I69" i="2" s="1"/>
  <c r="I71" i="2" s="1"/>
  <c r="I72" i="2" s="1"/>
  <c r="I78" i="2" s="1"/>
  <c r="I79" i="2" s="1"/>
  <c r="I80" i="2" s="1"/>
  <c r="I81" i="2" s="1"/>
  <c r="I82" i="2" s="1"/>
  <c r="I88" i="2" s="1"/>
  <c r="I89" i="2" s="1"/>
  <c r="I90" i="2" s="1"/>
  <c r="I91" i="2" s="1"/>
  <c r="I92" i="2" s="1"/>
  <c r="I98" i="2" s="1"/>
  <c r="I99" i="2" s="1"/>
  <c r="I100" i="2" s="1"/>
  <c r="I102" i="2" s="1"/>
  <c r="I108" i="2" s="1"/>
  <c r="I109" i="2" s="1"/>
  <c r="I110" i="2" s="1"/>
  <c r="I111" i="2" s="1"/>
  <c r="I112" i="2" s="1"/>
  <c r="I118" i="2" s="1"/>
  <c r="I119" i="2" s="1"/>
  <c r="I120" i="2" s="1"/>
  <c r="I121" i="2" s="1"/>
  <c r="I122" i="2" s="1"/>
  <c r="I128" i="2" s="1"/>
  <c r="I129" i="2" s="1"/>
  <c r="I130" i="2" s="1"/>
  <c r="I131" i="2" s="1"/>
  <c r="I9" i="2"/>
  <c r="I10" i="2" s="1"/>
  <c r="I11" i="2" s="1"/>
  <c r="I12" i="2" s="1"/>
  <c r="I18" i="2" s="1"/>
  <c r="I19" i="2" s="1"/>
  <c r="I20" i="2" s="1"/>
  <c r="I21" i="2" s="1"/>
  <c r="I22" i="2" s="1"/>
  <c r="I28" i="2" s="1"/>
  <c r="I29" i="2" s="1"/>
  <c r="I30" i="2" s="1"/>
  <c r="I31" i="2" s="1"/>
  <c r="I32" i="2" s="1"/>
  <c r="I38" i="2" s="1"/>
  <c r="H9" i="2"/>
  <c r="H10" i="2"/>
  <c r="H11" i="2"/>
  <c r="H12" i="2"/>
  <c r="H13" i="2"/>
  <c r="K13" i="2" s="1"/>
  <c r="H14" i="2"/>
  <c r="K14" i="2" s="1"/>
  <c r="H15" i="2"/>
  <c r="K15" i="2" s="1"/>
  <c r="H18" i="2"/>
  <c r="H19" i="2"/>
  <c r="H20" i="2"/>
  <c r="H21" i="2"/>
  <c r="H22" i="2"/>
  <c r="H23" i="2"/>
  <c r="H24" i="2"/>
  <c r="H25" i="2"/>
  <c r="H28" i="2"/>
  <c r="H29" i="2"/>
  <c r="H30" i="2"/>
  <c r="H31" i="2"/>
  <c r="H32" i="2"/>
  <c r="H33" i="2"/>
  <c r="H34" i="2"/>
  <c r="H35" i="2"/>
  <c r="H38" i="2"/>
  <c r="H39" i="2"/>
  <c r="H40" i="2"/>
  <c r="H41" i="2"/>
  <c r="H42" i="2"/>
  <c r="H43" i="2"/>
  <c r="H44" i="2"/>
  <c r="H45" i="2"/>
  <c r="H48" i="2"/>
  <c r="H49" i="2"/>
  <c r="H50" i="2"/>
  <c r="H51" i="2"/>
  <c r="H52" i="2"/>
  <c r="H53" i="2"/>
  <c r="H54" i="2"/>
  <c r="H55" i="2"/>
  <c r="H58" i="2"/>
  <c r="H59" i="2"/>
  <c r="H60" i="2"/>
  <c r="H61" i="2"/>
  <c r="H62" i="2"/>
  <c r="H63" i="2"/>
  <c r="H64" i="2"/>
  <c r="H65" i="2"/>
  <c r="H68" i="2"/>
  <c r="H69" i="2"/>
  <c r="H70" i="2"/>
  <c r="H71" i="2"/>
  <c r="H72" i="2"/>
  <c r="H73" i="2"/>
  <c r="H74" i="2"/>
  <c r="H75" i="2"/>
  <c r="H78" i="2"/>
  <c r="H79" i="2"/>
  <c r="H80" i="2"/>
  <c r="H81" i="2"/>
  <c r="H82" i="2"/>
  <c r="H83" i="2"/>
  <c r="H84" i="2"/>
  <c r="H85" i="2"/>
  <c r="H88" i="2"/>
  <c r="H89" i="2"/>
  <c r="H90" i="2"/>
  <c r="H91" i="2"/>
  <c r="H92" i="2"/>
  <c r="H93" i="2"/>
  <c r="H94" i="2"/>
  <c r="H95" i="2"/>
  <c r="H98" i="2"/>
  <c r="H99" i="2"/>
  <c r="H100" i="2"/>
  <c r="H101" i="2"/>
  <c r="H102" i="2"/>
  <c r="H103" i="2"/>
  <c r="H104" i="2"/>
  <c r="H105" i="2"/>
  <c r="H108" i="2"/>
  <c r="H109" i="2"/>
  <c r="H110" i="2"/>
  <c r="H111" i="2"/>
  <c r="H112" i="2"/>
  <c r="H113" i="2"/>
  <c r="H114" i="2"/>
  <c r="H115" i="2"/>
  <c r="H118" i="2"/>
  <c r="H119" i="2"/>
  <c r="H120" i="2"/>
  <c r="H121" i="2"/>
  <c r="H122" i="2"/>
  <c r="H123" i="2"/>
  <c r="H124" i="2"/>
  <c r="H125" i="2"/>
  <c r="H128" i="2"/>
  <c r="H129" i="2"/>
  <c r="H130" i="2"/>
  <c r="H131" i="2"/>
  <c r="H132" i="2"/>
  <c r="H133" i="2"/>
  <c r="H134" i="2"/>
  <c r="H135" i="2"/>
  <c r="H138" i="2"/>
  <c r="H139" i="2"/>
  <c r="H140" i="2"/>
  <c r="H141" i="2"/>
  <c r="H142" i="2"/>
  <c r="H143" i="2"/>
  <c r="H144" i="2"/>
  <c r="H145" i="2"/>
  <c r="H148" i="2"/>
  <c r="H149" i="2"/>
  <c r="H150" i="2"/>
  <c r="H151" i="2"/>
  <c r="H152" i="2"/>
  <c r="H153" i="2"/>
  <c r="H154" i="2"/>
  <c r="H155" i="2"/>
  <c r="H158" i="2"/>
  <c r="H159" i="2"/>
  <c r="H160" i="2"/>
  <c r="H161" i="2"/>
  <c r="H162" i="2"/>
  <c r="H163" i="2"/>
  <c r="H164" i="2"/>
  <c r="H165" i="2"/>
  <c r="H168" i="2"/>
  <c r="H169" i="2"/>
  <c r="H170" i="2"/>
  <c r="H171" i="2"/>
  <c r="H172" i="2"/>
  <c r="H173" i="2"/>
  <c r="H174" i="2"/>
  <c r="H175" i="2"/>
  <c r="H178" i="2"/>
  <c r="H179" i="2"/>
  <c r="H180" i="2"/>
  <c r="H181" i="2"/>
  <c r="H182" i="2"/>
  <c r="H183" i="2"/>
  <c r="H184" i="2"/>
  <c r="H185" i="2"/>
  <c r="H188" i="2"/>
  <c r="H189" i="2"/>
  <c r="H190" i="2"/>
  <c r="H191" i="2"/>
  <c r="H192" i="2"/>
  <c r="H193" i="2"/>
  <c r="H194" i="2"/>
  <c r="H195" i="2"/>
  <c r="H198" i="2"/>
  <c r="H199" i="2"/>
  <c r="H200" i="2"/>
  <c r="H201" i="2"/>
  <c r="H202" i="2"/>
  <c r="H203" i="2"/>
  <c r="H204" i="2"/>
  <c r="H205" i="2"/>
  <c r="H208" i="2"/>
  <c r="H209" i="2"/>
  <c r="H210" i="2"/>
  <c r="H211" i="2"/>
  <c r="H213" i="2"/>
  <c r="H214" i="2"/>
  <c r="H215" i="2"/>
  <c r="H8" i="2"/>
  <c r="I145" i="3"/>
  <c r="I146" i="3" s="1"/>
  <c r="I133" i="3"/>
  <c r="I134" i="3" s="1"/>
  <c r="I135" i="3" s="1"/>
  <c r="I122" i="3"/>
  <c r="I99" i="3"/>
  <c r="I100" i="3" s="1"/>
  <c r="I77" i="3"/>
  <c r="I78" i="3" s="1"/>
  <c r="I79" i="3" s="1"/>
  <c r="I80" i="3" s="1"/>
  <c r="I81" i="3" s="1"/>
  <c r="I82" i="3" s="1"/>
  <c r="I60" i="3"/>
  <c r="I55" i="3"/>
  <c r="I56" i="3" s="1"/>
  <c r="I57" i="3" s="1"/>
  <c r="I58" i="3" s="1"/>
  <c r="I36" i="3"/>
  <c r="I37" i="3" s="1"/>
  <c r="I38" i="3" s="1"/>
  <c r="I35" i="3"/>
  <c r="I33" i="3"/>
  <c r="I21" i="3"/>
  <c r="I22" i="3" s="1"/>
  <c r="I23" i="3" s="1"/>
  <c r="I24" i="3" s="1"/>
  <c r="I25" i="3" s="1"/>
  <c r="I26" i="3" s="1"/>
  <c r="J13" i="2" l="1"/>
  <c r="J14" i="2"/>
  <c r="J15" i="2"/>
  <c r="I263" i="3"/>
  <c r="I264" i="3" s="1"/>
  <c r="I265" i="3" s="1"/>
  <c r="I266" i="3" s="1"/>
  <c r="I267" i="3" s="1"/>
  <c r="I273" i="3" s="1"/>
  <c r="I274" i="3" s="1"/>
  <c r="I275" i="3" s="1"/>
  <c r="I276" i="3" s="1"/>
  <c r="I277" i="3" s="1"/>
  <c r="I278" i="3" s="1"/>
  <c r="I279" i="3" s="1"/>
  <c r="I251" i="3"/>
  <c r="I252" i="3" s="1"/>
  <c r="I253" i="3" s="1"/>
  <c r="I254" i="3" s="1"/>
  <c r="I255" i="3" s="1"/>
  <c r="I216" i="3"/>
  <c r="I217" i="3" s="1"/>
  <c r="I218" i="3" s="1"/>
  <c r="I219" i="3" s="1"/>
  <c r="I220" i="3" s="1"/>
  <c r="I221" i="3" s="1"/>
  <c r="I222" i="3" s="1"/>
  <c r="I223" i="3" s="1"/>
  <c r="I225" i="3" s="1"/>
  <c r="I226" i="3" s="1"/>
  <c r="I227" i="3" s="1"/>
  <c r="I228" i="3" s="1"/>
  <c r="I229" i="3" s="1"/>
  <c r="I147" i="3"/>
  <c r="I148" i="3" s="1"/>
  <c r="I149" i="3" s="1"/>
  <c r="I150" i="3" s="1"/>
  <c r="I137" i="3"/>
  <c r="I138" i="3" s="1"/>
  <c r="I123" i="3"/>
  <c r="I124" i="3" s="1"/>
  <c r="I125" i="3" s="1"/>
  <c r="I126" i="3" s="1"/>
  <c r="I101" i="3"/>
  <c r="I102" i="3" s="1"/>
  <c r="I103" i="3" s="1"/>
  <c r="I104" i="3" s="1"/>
  <c r="I9" i="3"/>
  <c r="I10" i="3" s="1"/>
  <c r="I11" i="3" s="1"/>
  <c r="I12" i="3" s="1"/>
  <c r="I13" i="3" s="1"/>
  <c r="I14" i="3" s="1"/>
  <c r="H9" i="3"/>
  <c r="H10" i="3"/>
  <c r="H11" i="3"/>
  <c r="H12" i="3"/>
  <c r="H13" i="3"/>
  <c r="H14" i="3"/>
  <c r="H15" i="3"/>
  <c r="H16" i="3"/>
  <c r="H17" i="3"/>
  <c r="H20" i="3"/>
  <c r="H21" i="3"/>
  <c r="H22" i="3"/>
  <c r="H23" i="3"/>
  <c r="H24" i="3"/>
  <c r="H25" i="3"/>
  <c r="H26" i="3"/>
  <c r="H27" i="3"/>
  <c r="H28" i="3"/>
  <c r="H29" i="3"/>
  <c r="H32" i="3"/>
  <c r="H33" i="3"/>
  <c r="H34" i="3"/>
  <c r="H35" i="3"/>
  <c r="H36" i="3"/>
  <c r="H37" i="3"/>
  <c r="H38" i="3"/>
  <c r="H39" i="3"/>
  <c r="H40" i="3"/>
  <c r="H41" i="3"/>
  <c r="H44" i="3"/>
  <c r="Q44" i="3" s="1" a="1"/>
  <c r="Q44" i="3" s="1"/>
  <c r="H45" i="3"/>
  <c r="H46" i="3"/>
  <c r="H47" i="3"/>
  <c r="H48" i="3"/>
  <c r="H49" i="3"/>
  <c r="H50" i="3"/>
  <c r="H51" i="3"/>
  <c r="H54" i="3"/>
  <c r="H55" i="3"/>
  <c r="H56" i="3"/>
  <c r="H57" i="3"/>
  <c r="H58" i="3"/>
  <c r="H59" i="3"/>
  <c r="H60" i="3"/>
  <c r="H61" i="3"/>
  <c r="H62" i="3"/>
  <c r="H63" i="3"/>
  <c r="H66" i="3"/>
  <c r="Q66" i="3" s="1" a="1"/>
  <c r="Q66" i="3" s="1"/>
  <c r="H67" i="3"/>
  <c r="H68" i="3"/>
  <c r="H69" i="3"/>
  <c r="H70" i="3"/>
  <c r="H71" i="3"/>
  <c r="H72" i="3"/>
  <c r="H73" i="3"/>
  <c r="H76" i="3"/>
  <c r="H77" i="3"/>
  <c r="H78" i="3"/>
  <c r="H79" i="3"/>
  <c r="H80" i="3"/>
  <c r="H81" i="3"/>
  <c r="H82" i="3"/>
  <c r="H83" i="3"/>
  <c r="H84" i="3"/>
  <c r="H85" i="3"/>
  <c r="H88" i="3"/>
  <c r="Q88" i="3" s="1" a="1"/>
  <c r="Q88" i="3" s="1"/>
  <c r="H89" i="3"/>
  <c r="H90" i="3"/>
  <c r="H91" i="3"/>
  <c r="H92" i="3"/>
  <c r="H93" i="3"/>
  <c r="H94" i="3"/>
  <c r="H95" i="3"/>
  <c r="H98" i="3"/>
  <c r="H99" i="3"/>
  <c r="H100" i="3"/>
  <c r="H101" i="3"/>
  <c r="H102" i="3"/>
  <c r="H103" i="3"/>
  <c r="H104" i="3"/>
  <c r="H105" i="3"/>
  <c r="H106" i="3"/>
  <c r="H107" i="3"/>
  <c r="H110" i="3"/>
  <c r="H111" i="3"/>
  <c r="H112" i="3"/>
  <c r="H113" i="3"/>
  <c r="H114" i="3"/>
  <c r="H115" i="3"/>
  <c r="H116" i="3"/>
  <c r="H117" i="3"/>
  <c r="H120" i="3"/>
  <c r="H121" i="3"/>
  <c r="H122" i="3"/>
  <c r="H123" i="3"/>
  <c r="H124" i="3"/>
  <c r="H125" i="3"/>
  <c r="H126" i="3"/>
  <c r="H127" i="3"/>
  <c r="H128" i="3"/>
  <c r="H129" i="3"/>
  <c r="H132" i="3"/>
  <c r="H133" i="3"/>
  <c r="H134" i="3"/>
  <c r="H135" i="3"/>
  <c r="H136" i="3"/>
  <c r="H137" i="3"/>
  <c r="H138" i="3"/>
  <c r="H139" i="3"/>
  <c r="H140" i="3"/>
  <c r="H141" i="3"/>
  <c r="H144" i="3"/>
  <c r="H145" i="3"/>
  <c r="H146" i="3"/>
  <c r="H147" i="3"/>
  <c r="H148" i="3"/>
  <c r="H149" i="3"/>
  <c r="H150" i="3"/>
  <c r="H151" i="3"/>
  <c r="H152" i="3"/>
  <c r="H153" i="3"/>
  <c r="H156" i="3"/>
  <c r="H157" i="3"/>
  <c r="H158" i="3"/>
  <c r="H159" i="3"/>
  <c r="H160" i="3"/>
  <c r="H161" i="3"/>
  <c r="H162" i="3"/>
  <c r="H163" i="3"/>
  <c r="H164" i="3"/>
  <c r="H165" i="3"/>
  <c r="H166" i="3"/>
  <c r="H171" i="3"/>
  <c r="H172" i="3"/>
  <c r="H173" i="3"/>
  <c r="H174" i="3"/>
  <c r="H175" i="3"/>
  <c r="H176" i="3"/>
  <c r="H177" i="3"/>
  <c r="H178" i="3"/>
  <c r="H179" i="3"/>
  <c r="H180" i="3"/>
  <c r="H181" i="3"/>
  <c r="H186" i="3"/>
  <c r="H187" i="3"/>
  <c r="H188" i="3"/>
  <c r="H189" i="3"/>
  <c r="H190" i="3"/>
  <c r="H191" i="3"/>
  <c r="H192" i="3"/>
  <c r="H193" i="3"/>
  <c r="H194" i="3"/>
  <c r="H195" i="3"/>
  <c r="H196" i="3"/>
  <c r="H201" i="3"/>
  <c r="H202" i="3"/>
  <c r="H203" i="3"/>
  <c r="H204" i="3"/>
  <c r="H205" i="3"/>
  <c r="H206" i="3"/>
  <c r="H207" i="3"/>
  <c r="H208" i="3"/>
  <c r="H209" i="3"/>
  <c r="H210" i="3"/>
  <c r="H211" i="3"/>
  <c r="H213" i="3"/>
  <c r="H214" i="3"/>
  <c r="H215" i="3"/>
  <c r="H216" i="3"/>
  <c r="H217" i="3"/>
  <c r="H218" i="3"/>
  <c r="H219" i="3"/>
  <c r="H220" i="3"/>
  <c r="H221" i="3"/>
  <c r="H222" i="3"/>
  <c r="H223" i="3"/>
  <c r="H225" i="3"/>
  <c r="H226" i="3"/>
  <c r="H227" i="3"/>
  <c r="H228" i="3"/>
  <c r="H229" i="3"/>
  <c r="H230" i="3"/>
  <c r="H231" i="3"/>
  <c r="H232" i="3"/>
  <c r="H233" i="3"/>
  <c r="H234" i="3"/>
  <c r="H237" i="3"/>
  <c r="H238" i="3"/>
  <c r="H239" i="3"/>
  <c r="H240" i="3"/>
  <c r="H241" i="3"/>
  <c r="H242" i="3"/>
  <c r="H243" i="3"/>
  <c r="H244" i="3"/>
  <c r="H245" i="3"/>
  <c r="H246" i="3"/>
  <c r="H249" i="3"/>
  <c r="H250" i="3"/>
  <c r="H251" i="3"/>
  <c r="H252" i="3"/>
  <c r="H253" i="3"/>
  <c r="H254" i="3"/>
  <c r="H255" i="3"/>
  <c r="H256" i="3"/>
  <c r="H257" i="3"/>
  <c r="H258" i="3"/>
  <c r="H261" i="3"/>
  <c r="H262" i="3"/>
  <c r="H263" i="3"/>
  <c r="H264" i="3"/>
  <c r="H265" i="3"/>
  <c r="H266" i="3"/>
  <c r="H267" i="3"/>
  <c r="H268" i="3"/>
  <c r="H269" i="3"/>
  <c r="H270" i="3"/>
  <c r="H273" i="3"/>
  <c r="H274" i="3"/>
  <c r="H275" i="3"/>
  <c r="H276" i="3"/>
  <c r="H277" i="3"/>
  <c r="H278" i="3"/>
  <c r="H279" i="3"/>
  <c r="H280" i="3"/>
  <c r="H281" i="3"/>
  <c r="H282" i="3"/>
  <c r="H285" i="3"/>
  <c r="H286" i="3"/>
  <c r="H287" i="3"/>
  <c r="H288" i="3"/>
  <c r="H289" i="3"/>
  <c r="H290" i="3"/>
  <c r="H291" i="3"/>
  <c r="H292" i="3"/>
  <c r="H295" i="3"/>
  <c r="Q295" i="3" s="1" a="1"/>
  <c r="Q295" i="3" s="1"/>
  <c r="H296" i="3"/>
  <c r="H297" i="3"/>
  <c r="H298" i="3"/>
  <c r="H299" i="3"/>
  <c r="H300" i="3"/>
  <c r="H301" i="3"/>
  <c r="H302" i="3"/>
  <c r="H305" i="3"/>
  <c r="H306" i="3"/>
  <c r="H307" i="3"/>
  <c r="H308" i="3"/>
  <c r="H309" i="3"/>
  <c r="H310" i="3"/>
  <c r="H311" i="3"/>
  <c r="H312" i="3"/>
  <c r="H315" i="3"/>
  <c r="H316" i="3"/>
  <c r="H317" i="3"/>
  <c r="H318" i="3"/>
  <c r="H319" i="3"/>
  <c r="H320" i="3"/>
  <c r="H325" i="3"/>
  <c r="H326" i="3"/>
  <c r="H327" i="3"/>
  <c r="H328" i="3"/>
  <c r="H329" i="3"/>
  <c r="H330" i="3"/>
  <c r="H335" i="3"/>
  <c r="H336" i="3"/>
  <c r="H337" i="3"/>
  <c r="H338" i="3"/>
  <c r="H339" i="3"/>
  <c r="H340" i="3"/>
  <c r="H8" i="3"/>
  <c r="I9" i="4"/>
  <c r="I10" i="4" s="1"/>
  <c r="I11" i="4" s="1"/>
  <c r="I12" i="4" s="1"/>
  <c r="H9" i="4"/>
  <c r="H10" i="4"/>
  <c r="H11" i="4"/>
  <c r="H12" i="4"/>
  <c r="H8" i="4"/>
  <c r="T12" i="4" s="1"/>
  <c r="Q237" i="3" l="1" a="1"/>
  <c r="Q237" i="3" s="1"/>
  <c r="Q249" i="3" a="1"/>
  <c r="Q249" i="3" s="1"/>
  <c r="Q305" i="3" a="1"/>
  <c r="Q305" i="3" s="1"/>
  <c r="Q156" i="3" a="1"/>
  <c r="Q156" i="3" s="1"/>
  <c r="Q54" i="3" a="1"/>
  <c r="Q54" i="3" s="1"/>
  <c r="Q325" i="3" a="1"/>
  <c r="Q325" i="3" s="1"/>
  <c r="Q273" i="3" a="1"/>
  <c r="Q273" i="3" s="1"/>
  <c r="Q171" i="3" a="1"/>
  <c r="Q171" i="3" s="1"/>
  <c r="Q186" i="3" a="1"/>
  <c r="Q186" i="3" s="1"/>
  <c r="Q285" i="3" a="1"/>
  <c r="Q285" i="3" s="1"/>
  <c r="Q201" i="3" a="1"/>
  <c r="Q201" i="3" s="1"/>
  <c r="Q315" i="3" a="1"/>
  <c r="Q315" i="3" s="1"/>
  <c r="Q20" i="3" a="1"/>
  <c r="Q20" i="3" s="1"/>
  <c r="Q335" i="3" a="1"/>
  <c r="Q335" i="3" s="1"/>
  <c r="Q225" i="3" a="1"/>
  <c r="Q225" i="3" s="1"/>
  <c r="Q8" i="3" a="1"/>
  <c r="Q8" i="3" s="1"/>
  <c r="Q120" i="3" a="1"/>
  <c r="Q120" i="3" s="1"/>
  <c r="Q15" i="3" a="1"/>
  <c r="Q15" i="3" s="1"/>
  <c r="Q261" i="3" a="1"/>
  <c r="Q261" i="3" s="1"/>
  <c r="Q213" i="3" a="1"/>
  <c r="Q213" i="3" s="1"/>
  <c r="Q144" i="3" a="1"/>
  <c r="Q144" i="3" s="1"/>
  <c r="Q132" i="3" a="1"/>
  <c r="Q132" i="3" s="1"/>
  <c r="Q98" i="3" a="1"/>
  <c r="Q98" i="3" s="1"/>
  <c r="Q76" i="3" a="1"/>
  <c r="Q76" i="3" s="1"/>
  <c r="Q32" i="3" a="1"/>
  <c r="Q32" i="3" s="1"/>
  <c r="C12" i="9"/>
  <c r="C16" i="9"/>
  <c r="C20" i="9"/>
  <c r="C24" i="9"/>
  <c r="C8" i="9"/>
  <c r="J9" i="3"/>
  <c r="M9" i="3"/>
  <c r="J10" i="3"/>
  <c r="M10" i="3"/>
  <c r="J11" i="3"/>
  <c r="M11" i="3"/>
  <c r="J12" i="3"/>
  <c r="M12" i="3"/>
  <c r="J13" i="3"/>
  <c r="M13" i="3"/>
  <c r="J14" i="3"/>
  <c r="M14" i="3"/>
  <c r="J15" i="3"/>
  <c r="M15" i="3"/>
  <c r="J16" i="3"/>
  <c r="M16" i="3"/>
  <c r="J17" i="3"/>
  <c r="M17" i="3"/>
  <c r="J20" i="3"/>
  <c r="M20" i="3"/>
  <c r="J21" i="3"/>
  <c r="M21" i="3"/>
  <c r="J22" i="3"/>
  <c r="M22" i="3"/>
  <c r="J23" i="3"/>
  <c r="M23" i="3"/>
  <c r="J24" i="3"/>
  <c r="M24" i="3"/>
  <c r="J25" i="3"/>
  <c r="M25" i="3"/>
  <c r="J26" i="3"/>
  <c r="M26" i="3"/>
  <c r="J27" i="3"/>
  <c r="M27" i="3"/>
  <c r="J28" i="3"/>
  <c r="M28" i="3"/>
  <c r="J29" i="3"/>
  <c r="M29" i="3"/>
  <c r="J32" i="3"/>
  <c r="M32" i="3"/>
  <c r="J33" i="3"/>
  <c r="M33" i="3"/>
  <c r="J34" i="3"/>
  <c r="M34" i="3"/>
  <c r="J35" i="3"/>
  <c r="M35" i="3"/>
  <c r="J36" i="3"/>
  <c r="M36" i="3"/>
  <c r="J37" i="3"/>
  <c r="M37" i="3"/>
  <c r="J38" i="3"/>
  <c r="M38" i="3"/>
  <c r="J39" i="3"/>
  <c r="M39" i="3"/>
  <c r="J40" i="3"/>
  <c r="M40" i="3"/>
  <c r="J41" i="3"/>
  <c r="M41" i="3"/>
  <c r="J44" i="3"/>
  <c r="M44" i="3"/>
  <c r="J45" i="3"/>
  <c r="M45" i="3"/>
  <c r="J46" i="3"/>
  <c r="M46" i="3"/>
  <c r="J47" i="3"/>
  <c r="M47" i="3"/>
  <c r="J48" i="3"/>
  <c r="M48" i="3"/>
  <c r="J49" i="3"/>
  <c r="M49" i="3"/>
  <c r="J50" i="3"/>
  <c r="M50" i="3"/>
  <c r="J51" i="3"/>
  <c r="M51" i="3"/>
  <c r="J54" i="3"/>
  <c r="M54" i="3"/>
  <c r="J55" i="3"/>
  <c r="M55" i="3"/>
  <c r="J56" i="3"/>
  <c r="M56" i="3"/>
  <c r="J57" i="3"/>
  <c r="M57" i="3"/>
  <c r="J58" i="3"/>
  <c r="M58" i="3"/>
  <c r="J59" i="3"/>
  <c r="M59" i="3"/>
  <c r="J60" i="3"/>
  <c r="M60" i="3"/>
  <c r="J61" i="3"/>
  <c r="M61" i="3"/>
  <c r="J62" i="3"/>
  <c r="M62" i="3"/>
  <c r="J63" i="3"/>
  <c r="M63" i="3"/>
  <c r="J66" i="3"/>
  <c r="M66" i="3"/>
  <c r="J67" i="3"/>
  <c r="M67" i="3"/>
  <c r="J68" i="3"/>
  <c r="M68" i="3"/>
  <c r="J69" i="3"/>
  <c r="M69" i="3"/>
  <c r="J70" i="3"/>
  <c r="M70" i="3"/>
  <c r="J71" i="3"/>
  <c r="M71" i="3"/>
  <c r="J72" i="3"/>
  <c r="M72" i="3"/>
  <c r="J73" i="3"/>
  <c r="M73" i="3"/>
  <c r="J76" i="3"/>
  <c r="M76" i="3"/>
  <c r="J77" i="3"/>
  <c r="M77" i="3"/>
  <c r="J78" i="3"/>
  <c r="M78" i="3"/>
  <c r="J79" i="3"/>
  <c r="M79" i="3"/>
  <c r="J80" i="3"/>
  <c r="M80" i="3"/>
  <c r="J81" i="3"/>
  <c r="M81" i="3"/>
  <c r="J82" i="3"/>
  <c r="M82" i="3"/>
  <c r="J83" i="3"/>
  <c r="M83" i="3"/>
  <c r="J84" i="3"/>
  <c r="M84" i="3"/>
  <c r="J85" i="3"/>
  <c r="M85" i="3"/>
  <c r="J88" i="3"/>
  <c r="M88" i="3"/>
  <c r="J89" i="3"/>
  <c r="M89" i="3"/>
  <c r="J90" i="3"/>
  <c r="M90" i="3"/>
  <c r="J91" i="3"/>
  <c r="M91" i="3"/>
  <c r="J92" i="3"/>
  <c r="M92" i="3"/>
  <c r="J93" i="3"/>
  <c r="M93" i="3"/>
  <c r="J94" i="3"/>
  <c r="M94" i="3"/>
  <c r="J95" i="3"/>
  <c r="M95" i="3"/>
  <c r="J98" i="3"/>
  <c r="M98" i="3"/>
  <c r="J99" i="3"/>
  <c r="M99" i="3"/>
  <c r="J100" i="3"/>
  <c r="M100" i="3"/>
  <c r="J101" i="3"/>
  <c r="M101" i="3"/>
  <c r="J102" i="3"/>
  <c r="M102" i="3"/>
  <c r="J103" i="3"/>
  <c r="M103" i="3"/>
  <c r="J104" i="3"/>
  <c r="M104" i="3"/>
  <c r="J105" i="3"/>
  <c r="M105" i="3"/>
  <c r="J106" i="3"/>
  <c r="M106" i="3"/>
  <c r="J107" i="3"/>
  <c r="M107" i="3"/>
  <c r="J110" i="3"/>
  <c r="M110" i="3"/>
  <c r="J112" i="3"/>
  <c r="M112" i="3"/>
  <c r="J113" i="3"/>
  <c r="M113" i="3"/>
  <c r="J114" i="3"/>
  <c r="M114" i="3"/>
  <c r="J115" i="3"/>
  <c r="M115" i="3"/>
  <c r="J116" i="3"/>
  <c r="M116" i="3"/>
  <c r="J117" i="3"/>
  <c r="M117" i="3"/>
  <c r="J120" i="3"/>
  <c r="M120" i="3"/>
  <c r="J121" i="3"/>
  <c r="M121" i="3"/>
  <c r="J122" i="3"/>
  <c r="M122" i="3"/>
  <c r="J123" i="3"/>
  <c r="M123" i="3"/>
  <c r="J124" i="3"/>
  <c r="M124" i="3"/>
  <c r="J125" i="3"/>
  <c r="M125" i="3"/>
  <c r="J126" i="3"/>
  <c r="M126" i="3"/>
  <c r="J127" i="3"/>
  <c r="M127" i="3"/>
  <c r="J128" i="3"/>
  <c r="M128" i="3"/>
  <c r="J129" i="3"/>
  <c r="M129" i="3"/>
  <c r="J132" i="3"/>
  <c r="M132" i="3"/>
  <c r="J133" i="3"/>
  <c r="M133" i="3"/>
  <c r="J134" i="3"/>
  <c r="M134" i="3"/>
  <c r="J135" i="3"/>
  <c r="M135" i="3"/>
  <c r="J136" i="3"/>
  <c r="M136" i="3"/>
  <c r="J137" i="3"/>
  <c r="M137" i="3"/>
  <c r="J138" i="3"/>
  <c r="M138" i="3"/>
  <c r="J139" i="3"/>
  <c r="M139" i="3"/>
  <c r="J140" i="3"/>
  <c r="M140" i="3"/>
  <c r="J141" i="3"/>
  <c r="M141" i="3"/>
  <c r="J144" i="3"/>
  <c r="M144" i="3"/>
  <c r="J145" i="3"/>
  <c r="M145" i="3"/>
  <c r="J146" i="3"/>
  <c r="M146" i="3"/>
  <c r="J147" i="3"/>
  <c r="M147" i="3"/>
  <c r="J148" i="3"/>
  <c r="M148" i="3"/>
  <c r="J149" i="3"/>
  <c r="M149" i="3"/>
  <c r="J150" i="3"/>
  <c r="M150" i="3"/>
  <c r="J151" i="3"/>
  <c r="M151" i="3"/>
  <c r="J152" i="3"/>
  <c r="M152" i="3"/>
  <c r="J153" i="3"/>
  <c r="M153" i="3"/>
  <c r="J156" i="3"/>
  <c r="M156" i="3"/>
  <c r="J157" i="3"/>
  <c r="M157" i="3"/>
  <c r="J158" i="3"/>
  <c r="M158" i="3"/>
  <c r="J159" i="3"/>
  <c r="M159" i="3"/>
  <c r="J160" i="3"/>
  <c r="M160" i="3"/>
  <c r="J161" i="3"/>
  <c r="M161" i="3"/>
  <c r="J162" i="3"/>
  <c r="M162" i="3"/>
  <c r="J163" i="3"/>
  <c r="M163" i="3"/>
  <c r="J164" i="3"/>
  <c r="M164" i="3"/>
  <c r="J165" i="3"/>
  <c r="M165" i="3"/>
  <c r="J166" i="3"/>
  <c r="M166" i="3"/>
  <c r="J171" i="3"/>
  <c r="M171" i="3"/>
  <c r="J172" i="3"/>
  <c r="M172" i="3"/>
  <c r="J173" i="3"/>
  <c r="M173" i="3"/>
  <c r="J174" i="3"/>
  <c r="M174" i="3"/>
  <c r="J175" i="3"/>
  <c r="M175" i="3"/>
  <c r="J176" i="3"/>
  <c r="M176" i="3"/>
  <c r="J177" i="3"/>
  <c r="M177" i="3"/>
  <c r="J178" i="3"/>
  <c r="M178" i="3"/>
  <c r="J179" i="3"/>
  <c r="M179" i="3"/>
  <c r="J180" i="3"/>
  <c r="M180" i="3"/>
  <c r="J181" i="3"/>
  <c r="M181" i="3"/>
  <c r="J186" i="3"/>
  <c r="M186" i="3"/>
  <c r="J187" i="3"/>
  <c r="M187" i="3"/>
  <c r="J188" i="3"/>
  <c r="M188" i="3"/>
  <c r="J189" i="3"/>
  <c r="M189" i="3"/>
  <c r="J190" i="3"/>
  <c r="M190" i="3"/>
  <c r="J191" i="3"/>
  <c r="M191" i="3"/>
  <c r="J192" i="3"/>
  <c r="M192" i="3"/>
  <c r="J193" i="3"/>
  <c r="M193" i="3"/>
  <c r="J194" i="3"/>
  <c r="M194" i="3"/>
  <c r="J195" i="3"/>
  <c r="M195" i="3"/>
  <c r="J196" i="3"/>
  <c r="M196" i="3"/>
  <c r="J201" i="3"/>
  <c r="M201" i="3"/>
  <c r="J202" i="3"/>
  <c r="M202" i="3"/>
  <c r="J203" i="3"/>
  <c r="M203" i="3"/>
  <c r="J204" i="3"/>
  <c r="M204" i="3"/>
  <c r="J205" i="3"/>
  <c r="M205" i="3"/>
  <c r="J206" i="3"/>
  <c r="M206" i="3"/>
  <c r="J207" i="3"/>
  <c r="M207" i="3"/>
  <c r="J208" i="3"/>
  <c r="M208" i="3"/>
  <c r="J209" i="3"/>
  <c r="M209" i="3"/>
  <c r="J210" i="3"/>
  <c r="M210" i="3"/>
  <c r="J211" i="3"/>
  <c r="M211" i="3"/>
  <c r="J213" i="3"/>
  <c r="M213" i="3"/>
  <c r="J214" i="3"/>
  <c r="M214" i="3"/>
  <c r="J215" i="3"/>
  <c r="M215" i="3"/>
  <c r="J216" i="3"/>
  <c r="M216" i="3"/>
  <c r="J217" i="3"/>
  <c r="M217" i="3"/>
  <c r="J218" i="3"/>
  <c r="M218" i="3"/>
  <c r="J219" i="3"/>
  <c r="M219" i="3"/>
  <c r="J220" i="3"/>
  <c r="M220" i="3"/>
  <c r="J221" i="3"/>
  <c r="M221" i="3"/>
  <c r="J222" i="3"/>
  <c r="M222" i="3"/>
  <c r="J223" i="3"/>
  <c r="M223" i="3"/>
  <c r="J225" i="3"/>
  <c r="M225" i="3"/>
  <c r="J226" i="3"/>
  <c r="M226" i="3"/>
  <c r="J227" i="3"/>
  <c r="M227" i="3"/>
  <c r="J228" i="3"/>
  <c r="M228" i="3"/>
  <c r="J229" i="3"/>
  <c r="M229" i="3"/>
  <c r="J230" i="3"/>
  <c r="M230" i="3"/>
  <c r="J231" i="3"/>
  <c r="M231" i="3"/>
  <c r="J232" i="3"/>
  <c r="M232" i="3"/>
  <c r="J233" i="3"/>
  <c r="M233" i="3"/>
  <c r="J234" i="3"/>
  <c r="M234" i="3"/>
  <c r="J237" i="3"/>
  <c r="M237" i="3"/>
  <c r="J238" i="3"/>
  <c r="M238" i="3"/>
  <c r="J239" i="3"/>
  <c r="M239" i="3"/>
  <c r="J240" i="3"/>
  <c r="M240" i="3"/>
  <c r="J241" i="3"/>
  <c r="M241" i="3"/>
  <c r="J242" i="3"/>
  <c r="M242" i="3"/>
  <c r="J243" i="3"/>
  <c r="M243" i="3"/>
  <c r="J244" i="3"/>
  <c r="M244" i="3"/>
  <c r="J245" i="3"/>
  <c r="M245" i="3"/>
  <c r="J246" i="3"/>
  <c r="M246" i="3"/>
  <c r="J249" i="3"/>
  <c r="M249" i="3"/>
  <c r="J250" i="3"/>
  <c r="M250" i="3"/>
  <c r="J251" i="3"/>
  <c r="M251" i="3"/>
  <c r="J252" i="3"/>
  <c r="M252" i="3"/>
  <c r="J253" i="3"/>
  <c r="M253" i="3"/>
  <c r="J254" i="3"/>
  <c r="M254" i="3"/>
  <c r="J255" i="3"/>
  <c r="M255" i="3"/>
  <c r="J256" i="3"/>
  <c r="M256" i="3"/>
  <c r="J257" i="3"/>
  <c r="M257" i="3"/>
  <c r="J258" i="3"/>
  <c r="M258" i="3"/>
  <c r="J261" i="3"/>
  <c r="M261" i="3"/>
  <c r="J262" i="3"/>
  <c r="M262" i="3"/>
  <c r="J263" i="3"/>
  <c r="M263" i="3"/>
  <c r="J264" i="3"/>
  <c r="M264" i="3"/>
  <c r="J265" i="3"/>
  <c r="M265" i="3"/>
  <c r="J266" i="3"/>
  <c r="M266" i="3"/>
  <c r="J267" i="3"/>
  <c r="M267" i="3"/>
  <c r="J268" i="3"/>
  <c r="M268" i="3"/>
  <c r="J269" i="3"/>
  <c r="M269" i="3"/>
  <c r="J270" i="3"/>
  <c r="M270" i="3"/>
  <c r="J273" i="3"/>
  <c r="M273" i="3"/>
  <c r="J274" i="3"/>
  <c r="M274" i="3"/>
  <c r="J275" i="3"/>
  <c r="M275" i="3"/>
  <c r="J276" i="3"/>
  <c r="M276" i="3"/>
  <c r="J277" i="3"/>
  <c r="M277" i="3"/>
  <c r="J278" i="3"/>
  <c r="M278" i="3"/>
  <c r="J279" i="3"/>
  <c r="M279" i="3"/>
  <c r="J280" i="3"/>
  <c r="M280" i="3"/>
  <c r="J281" i="3"/>
  <c r="M281" i="3"/>
  <c r="J282" i="3"/>
  <c r="M282" i="3"/>
  <c r="J285" i="3"/>
  <c r="M285" i="3"/>
  <c r="J286" i="3"/>
  <c r="M286" i="3"/>
  <c r="J287" i="3"/>
  <c r="M287" i="3"/>
  <c r="J288" i="3"/>
  <c r="M288" i="3"/>
  <c r="J289" i="3"/>
  <c r="M289" i="3"/>
  <c r="J290" i="3"/>
  <c r="M290" i="3"/>
  <c r="J291" i="3"/>
  <c r="M291" i="3"/>
  <c r="J292" i="3"/>
  <c r="M292" i="3"/>
  <c r="J295" i="3"/>
  <c r="M295" i="3"/>
  <c r="J296" i="3"/>
  <c r="M296" i="3"/>
  <c r="J297" i="3"/>
  <c r="M297" i="3"/>
  <c r="J298" i="3"/>
  <c r="M298" i="3"/>
  <c r="J299" i="3"/>
  <c r="M299" i="3"/>
  <c r="J300" i="3"/>
  <c r="M300" i="3"/>
  <c r="J301" i="3"/>
  <c r="M301" i="3"/>
  <c r="J302" i="3"/>
  <c r="M302" i="3"/>
  <c r="J305" i="3"/>
  <c r="M305" i="3"/>
  <c r="J306" i="3"/>
  <c r="M306" i="3"/>
  <c r="J307" i="3"/>
  <c r="M307" i="3"/>
  <c r="J308" i="3"/>
  <c r="M308" i="3"/>
  <c r="J309" i="3"/>
  <c r="M309" i="3"/>
  <c r="J310" i="3"/>
  <c r="M310" i="3"/>
  <c r="J311" i="3"/>
  <c r="M311" i="3"/>
  <c r="J312" i="3"/>
  <c r="M312" i="3"/>
  <c r="J315" i="3"/>
  <c r="M315" i="3"/>
  <c r="J316" i="3"/>
  <c r="M316" i="3"/>
  <c r="J317" i="3"/>
  <c r="M317" i="3"/>
  <c r="J318" i="3"/>
  <c r="M318" i="3"/>
  <c r="J319" i="3"/>
  <c r="M319" i="3"/>
  <c r="J320" i="3"/>
  <c r="M320" i="3"/>
  <c r="J325" i="3"/>
  <c r="M325" i="3"/>
  <c r="J326" i="3"/>
  <c r="M326" i="3"/>
  <c r="J327" i="3"/>
  <c r="M327" i="3"/>
  <c r="J328" i="3"/>
  <c r="M328" i="3"/>
  <c r="J329" i="3"/>
  <c r="M329" i="3"/>
  <c r="J330" i="3"/>
  <c r="M330" i="3"/>
  <c r="J335" i="3"/>
  <c r="M335" i="3"/>
  <c r="J336" i="3"/>
  <c r="M336" i="3"/>
  <c r="J337" i="3"/>
  <c r="M337" i="3"/>
  <c r="J338" i="3"/>
  <c r="M338" i="3"/>
  <c r="J339" i="3"/>
  <c r="M339" i="3"/>
  <c r="J340" i="3"/>
  <c r="M340" i="3"/>
  <c r="C335" i="3"/>
  <c r="C325" i="3"/>
  <c r="C315" i="3"/>
  <c r="C295" i="3"/>
  <c r="C305" i="3"/>
  <c r="C285" i="3"/>
  <c r="C273" i="3"/>
  <c r="C261" i="3"/>
  <c r="C249" i="3"/>
  <c r="C237" i="3"/>
  <c r="C225" i="3"/>
  <c r="C213" i="3"/>
  <c r="C201" i="3"/>
  <c r="C171" i="3"/>
  <c r="C186" i="3"/>
  <c r="C156" i="3"/>
  <c r="C110" i="3"/>
  <c r="C88" i="3"/>
  <c r="C66" i="3"/>
  <c r="C44" i="3"/>
  <c r="M45" i="11"/>
  <c r="J45" i="11"/>
  <c r="M44" i="11"/>
  <c r="J44" i="11"/>
  <c r="M43" i="11"/>
  <c r="J43" i="11"/>
  <c r="M42" i="11"/>
  <c r="J42" i="11"/>
  <c r="M41" i="11"/>
  <c r="J41" i="11"/>
  <c r="M40" i="11"/>
  <c r="J40" i="11"/>
  <c r="M39" i="11"/>
  <c r="J39" i="11"/>
  <c r="M38" i="11"/>
  <c r="J38" i="11"/>
  <c r="C20" i="3" l="1"/>
  <c r="C32" i="3"/>
  <c r="C54" i="3"/>
  <c r="C76" i="3"/>
  <c r="C98" i="3"/>
  <c r="C120" i="3"/>
  <c r="C132" i="3"/>
  <c r="C144" i="3"/>
  <c r="C8" i="3"/>
  <c r="N8" i="1"/>
  <c r="N10" i="1"/>
  <c r="N12" i="1"/>
  <c r="N14" i="1"/>
  <c r="N16" i="1"/>
  <c r="N18" i="1"/>
  <c r="N20" i="1"/>
  <c r="N22" i="1"/>
  <c r="N24" i="1"/>
  <c r="N26" i="1"/>
  <c r="N28" i="1"/>
  <c r="N30" i="1"/>
  <c r="M208" i="2" l="1"/>
  <c r="B20" i="3" l="1"/>
  <c r="B32" i="3" s="1"/>
  <c r="G4" i="9"/>
  <c r="H4" i="11"/>
  <c r="H4" i="3"/>
  <c r="H4" i="2"/>
  <c r="I4" i="1"/>
  <c r="C3" i="9"/>
  <c r="C3" i="11"/>
  <c r="C3" i="3"/>
  <c r="C3" i="2"/>
  <c r="C3" i="4"/>
  <c r="G2" i="9"/>
  <c r="H2" i="11"/>
  <c r="H2" i="3"/>
  <c r="H2" i="2"/>
  <c r="I2" i="1"/>
  <c r="B44" i="3" l="1"/>
  <c r="B54" i="3" s="1"/>
  <c r="B66" i="3" l="1"/>
  <c r="B76" i="3" s="1"/>
  <c r="B88" i="3" l="1"/>
  <c r="B98" i="3" s="1"/>
  <c r="J8" i="1"/>
  <c r="I8" i="1"/>
  <c r="M18" i="2"/>
  <c r="B45" i="10"/>
  <c r="H62" i="10"/>
  <c r="H63" i="10" s="1"/>
  <c r="M8" i="3"/>
  <c r="J8" i="3"/>
  <c r="M148" i="2"/>
  <c r="M118" i="2"/>
  <c r="M108" i="2"/>
  <c r="B18" i="2"/>
  <c r="M8" i="2"/>
  <c r="R4" i="18" l="1"/>
  <c r="P4" i="11"/>
  <c r="N4" i="9"/>
  <c r="O4" i="2"/>
  <c r="O4" i="3"/>
  <c r="Q4" i="1"/>
  <c r="R4" i="4"/>
  <c r="K12" i="2"/>
  <c r="J9" i="2"/>
  <c r="K11" i="2"/>
  <c r="J8" i="2"/>
  <c r="K10" i="2"/>
  <c r="J10" i="2"/>
  <c r="K9" i="2"/>
  <c r="J11" i="2"/>
  <c r="K8" i="2"/>
  <c r="B110" i="3"/>
  <c r="B120" i="3" s="1"/>
  <c r="B132" i="3" s="1"/>
  <c r="B144" i="3" s="1"/>
  <c r="B156" i="3" s="1"/>
  <c r="B171" i="3" s="1"/>
  <c r="B186" i="3" s="1"/>
  <c r="B201" i="3" s="1"/>
  <c r="B213" i="3" s="1"/>
  <c r="B225" i="3" s="1"/>
  <c r="B237" i="3" s="1"/>
  <c r="B249" i="3" s="1"/>
  <c r="B261" i="3" s="1"/>
  <c r="B273" i="3" s="1"/>
  <c r="B285" i="3" s="1"/>
  <c r="B295" i="3" s="1"/>
  <c r="B305" i="3" s="1"/>
  <c r="B315" i="3" s="1"/>
  <c r="B325" i="3" s="1"/>
  <c r="B335" i="3" s="1"/>
  <c r="M22" i="11" l="1"/>
  <c r="J22" i="11"/>
  <c r="M21" i="11"/>
  <c r="J21" i="11"/>
  <c r="M20" i="11"/>
  <c r="J20" i="11"/>
  <c r="M19" i="11"/>
  <c r="J19" i="11"/>
  <c r="M18" i="11"/>
  <c r="J18" i="11"/>
  <c r="M15" i="11"/>
  <c r="J15" i="11"/>
  <c r="M14" i="11"/>
  <c r="J14" i="11"/>
  <c r="M13" i="11"/>
  <c r="J13" i="11"/>
  <c r="M12" i="11"/>
  <c r="J12" i="11"/>
  <c r="M11" i="11"/>
  <c r="J11" i="11"/>
  <c r="M10" i="11"/>
  <c r="J10" i="11"/>
  <c r="M9" i="11"/>
  <c r="J9" i="11"/>
  <c r="M8" i="11"/>
  <c r="J8" i="11"/>
  <c r="M55" i="11"/>
  <c r="J55" i="11"/>
  <c r="M54" i="11"/>
  <c r="J54" i="11"/>
  <c r="M53" i="11"/>
  <c r="J53" i="11"/>
  <c r="M52" i="11"/>
  <c r="J52" i="11"/>
  <c r="M51" i="11"/>
  <c r="J51" i="11"/>
  <c r="M50" i="11"/>
  <c r="J50" i="11"/>
  <c r="M49" i="11"/>
  <c r="J49" i="11"/>
  <c r="M48" i="11"/>
  <c r="J48" i="11"/>
  <c r="M35" i="11"/>
  <c r="J35" i="11"/>
  <c r="M34" i="11"/>
  <c r="J34" i="11"/>
  <c r="M33" i="11"/>
  <c r="J33" i="11"/>
  <c r="M32" i="11"/>
  <c r="J32" i="11"/>
  <c r="M31" i="11"/>
  <c r="J31" i="11"/>
  <c r="M30" i="11"/>
  <c r="J30" i="11"/>
  <c r="M29" i="11"/>
  <c r="J29" i="11"/>
  <c r="M28" i="11"/>
  <c r="J28" i="11"/>
  <c r="B18" i="11" l="1"/>
  <c r="B28" i="11" s="1"/>
  <c r="B38" i="11" s="1"/>
  <c r="B48" i="11" s="1"/>
  <c r="AD46" i="10"/>
  <c r="AB46" i="10"/>
  <c r="Z46" i="10"/>
  <c r="Q8" i="4" l="1"/>
  <c r="P9" i="4" l="1"/>
  <c r="P8" i="4"/>
  <c r="J10" i="4"/>
  <c r="P11" i="4"/>
  <c r="P12" i="4"/>
  <c r="P10" i="4"/>
  <c r="J9" i="4"/>
  <c r="J11" i="4"/>
  <c r="J12" i="4"/>
  <c r="J8" i="4"/>
  <c r="M178" i="2"/>
  <c r="M168" i="2"/>
  <c r="M158" i="2"/>
  <c r="K164" i="2" l="1"/>
  <c r="K165" i="2"/>
  <c r="K163" i="2"/>
  <c r="K162" i="2"/>
  <c r="K161" i="2"/>
  <c r="K160" i="2"/>
  <c r="K159" i="2"/>
  <c r="K158" i="2"/>
  <c r="J161" i="2"/>
  <c r="J162" i="2"/>
  <c r="J163" i="2"/>
  <c r="J164" i="2"/>
  <c r="J165" i="2"/>
  <c r="J158" i="2"/>
  <c r="J159" i="2"/>
  <c r="J160" i="2"/>
  <c r="J31" i="1" l="1"/>
  <c r="I31" i="1"/>
  <c r="P30" i="1"/>
  <c r="M30" i="1" s="1"/>
  <c r="J30" i="1"/>
  <c r="I30" i="1"/>
  <c r="O30" i="1" l="1"/>
  <c r="P31" i="1"/>
  <c r="M31" i="1" l="1"/>
  <c r="O31" i="1"/>
  <c r="M198" i="2" l="1"/>
  <c r="M28" i="2"/>
  <c r="B28" i="2"/>
  <c r="B38" i="2" s="1"/>
  <c r="J29" i="1"/>
  <c r="I29" i="1"/>
  <c r="P28" i="1"/>
  <c r="P29" i="1" s="1"/>
  <c r="J28" i="1"/>
  <c r="I28" i="1"/>
  <c r="J13" i="1"/>
  <c r="I13" i="1"/>
  <c r="P12" i="1"/>
  <c r="O12" i="1" s="1"/>
  <c r="J12" i="1"/>
  <c r="I12" i="1"/>
  <c r="K31" i="2" l="1"/>
  <c r="K30" i="2"/>
  <c r="K28" i="2"/>
  <c r="K35" i="2"/>
  <c r="K29" i="2"/>
  <c r="K34" i="2"/>
  <c r="K33" i="2"/>
  <c r="K32" i="2"/>
  <c r="J28" i="2"/>
  <c r="J32" i="2"/>
  <c r="J30" i="2"/>
  <c r="J35" i="2"/>
  <c r="J33" i="2"/>
  <c r="J34" i="2"/>
  <c r="J31" i="2"/>
  <c r="J29" i="2"/>
  <c r="O28" i="1"/>
  <c r="O29" i="1"/>
  <c r="M29" i="1"/>
  <c r="M28" i="1"/>
  <c r="P13" i="1"/>
  <c r="M12" i="1"/>
  <c r="O13" i="1" l="1"/>
  <c r="M13" i="1"/>
  <c r="I9" i="1" l="1"/>
  <c r="I10" i="1"/>
  <c r="I11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L8" i="9" l="1"/>
  <c r="I8" i="9"/>
  <c r="M188" i="2" l="1"/>
  <c r="M48" i="2"/>
  <c r="M58" i="2"/>
  <c r="M68" i="2"/>
  <c r="M78" i="2"/>
  <c r="M88" i="2"/>
  <c r="M98" i="2"/>
  <c r="M128" i="2"/>
  <c r="M138" i="2"/>
  <c r="M38" i="2"/>
  <c r="B48" i="2"/>
  <c r="B58" i="2" s="1"/>
  <c r="B68" i="2" s="1"/>
  <c r="B78" i="2" s="1"/>
  <c r="B88" i="2" s="1"/>
  <c r="B98" i="2" s="1"/>
  <c r="B108" i="2" s="1"/>
  <c r="B118" i="2" s="1"/>
  <c r="B128" i="2" s="1"/>
  <c r="B138" i="2" s="1"/>
  <c r="B148" i="2" s="1"/>
  <c r="B158" i="2" s="1"/>
  <c r="K91" i="2" l="1"/>
  <c r="K90" i="2"/>
  <c r="K89" i="2"/>
  <c r="K95" i="2"/>
  <c r="K88" i="2"/>
  <c r="K94" i="2"/>
  <c r="K93" i="2"/>
  <c r="K92" i="2"/>
  <c r="K81" i="2"/>
  <c r="K83" i="2"/>
  <c r="K85" i="2"/>
  <c r="K84" i="2"/>
  <c r="K82" i="2"/>
  <c r="K80" i="2"/>
  <c r="K79" i="2"/>
  <c r="K78" i="2"/>
  <c r="K61" i="2"/>
  <c r="K60" i="2"/>
  <c r="K65" i="2"/>
  <c r="K59" i="2"/>
  <c r="K58" i="2"/>
  <c r="K64" i="2"/>
  <c r="K63" i="2"/>
  <c r="K62" i="2"/>
  <c r="K105" i="2"/>
  <c r="K99" i="2"/>
  <c r="K104" i="2"/>
  <c r="K103" i="2"/>
  <c r="K102" i="2"/>
  <c r="K101" i="2"/>
  <c r="K100" i="2"/>
  <c r="K98" i="2"/>
  <c r="K48" i="2"/>
  <c r="K53" i="2"/>
  <c r="K51" i="2"/>
  <c r="K55" i="2"/>
  <c r="K54" i="2"/>
  <c r="K52" i="2"/>
  <c r="K50" i="2"/>
  <c r="K49" i="2"/>
  <c r="K45" i="2"/>
  <c r="K39" i="2"/>
  <c r="K44" i="2"/>
  <c r="K43" i="2"/>
  <c r="K42" i="2"/>
  <c r="K41" i="2"/>
  <c r="K40" i="2"/>
  <c r="K38" i="2"/>
  <c r="K75" i="2"/>
  <c r="K74" i="2"/>
  <c r="K72" i="2"/>
  <c r="K69" i="2"/>
  <c r="K73" i="2"/>
  <c r="K71" i="2"/>
  <c r="K70" i="2"/>
  <c r="K68" i="2"/>
  <c r="B168" i="2"/>
  <c r="B178" i="2" s="1"/>
  <c r="B188" i="2" s="1"/>
  <c r="B198" i="2" s="1"/>
  <c r="B208" i="2" s="1"/>
  <c r="J85" i="2"/>
  <c r="J78" i="2"/>
  <c r="J80" i="2"/>
  <c r="J79" i="2"/>
  <c r="J81" i="2"/>
  <c r="J84" i="2"/>
  <c r="J83" i="2"/>
  <c r="J82" i="2"/>
  <c r="J95" i="2"/>
  <c r="J91" i="2"/>
  <c r="J88" i="2"/>
  <c r="J89" i="2"/>
  <c r="J90" i="2"/>
  <c r="J94" i="2"/>
  <c r="J92" i="2"/>
  <c r="J93" i="2"/>
  <c r="J58" i="2"/>
  <c r="J59" i="2"/>
  <c r="J60" i="2"/>
  <c r="J61" i="2"/>
  <c r="J62" i="2"/>
  <c r="J64" i="2"/>
  <c r="J63" i="2"/>
  <c r="J65" i="2"/>
  <c r="J98" i="2"/>
  <c r="J99" i="2"/>
  <c r="J100" i="2"/>
  <c r="J101" i="2"/>
  <c r="J102" i="2"/>
  <c r="J103" i="2"/>
  <c r="J104" i="2"/>
  <c r="J105" i="2"/>
  <c r="J48" i="2"/>
  <c r="J49" i="2"/>
  <c r="J50" i="2"/>
  <c r="J51" i="2"/>
  <c r="J52" i="2"/>
  <c r="J53" i="2"/>
  <c r="J54" i="2"/>
  <c r="J55" i="2"/>
  <c r="J71" i="2"/>
  <c r="J72" i="2"/>
  <c r="J73" i="2"/>
  <c r="J74" i="2"/>
  <c r="J70" i="2"/>
  <c r="J75" i="2"/>
  <c r="J69" i="2"/>
  <c r="J68" i="2"/>
  <c r="J41" i="2"/>
  <c r="J42" i="2"/>
  <c r="J43" i="2"/>
  <c r="J44" i="2"/>
  <c r="J45" i="2"/>
  <c r="J39" i="2"/>
  <c r="J38" i="2"/>
  <c r="J40" i="2"/>
  <c r="P26" i="1"/>
  <c r="P27" i="1" s="1"/>
  <c r="O27" i="1" s="1"/>
  <c r="P10" i="1"/>
  <c r="P11" i="1" s="1"/>
  <c r="O11" i="1" s="1"/>
  <c r="P14" i="1"/>
  <c r="P15" i="1" s="1"/>
  <c r="O15" i="1" s="1"/>
  <c r="P16" i="1"/>
  <c r="P17" i="1" s="1"/>
  <c r="O17" i="1" s="1"/>
  <c r="P18" i="1"/>
  <c r="P19" i="1" s="1"/>
  <c r="O19" i="1" s="1"/>
  <c r="P20" i="1"/>
  <c r="P21" i="1" s="1"/>
  <c r="O21" i="1" s="1"/>
  <c r="P22" i="1"/>
  <c r="P23" i="1" s="1"/>
  <c r="O23" i="1" s="1"/>
  <c r="P24" i="1"/>
  <c r="P25" i="1" s="1"/>
  <c r="O25" i="1" s="1"/>
  <c r="P8" i="1"/>
  <c r="M8" i="1" s="1"/>
  <c r="B10" i="1"/>
  <c r="B12" i="1" l="1"/>
  <c r="B14" i="1" s="1"/>
  <c r="B16" i="1" s="1"/>
  <c r="B18" i="1" s="1"/>
  <c r="B20" i="1" s="1"/>
  <c r="B22" i="1" s="1"/>
  <c r="B24" i="1" s="1"/>
  <c r="B26" i="1" s="1"/>
  <c r="P9" i="1"/>
  <c r="O9" i="1" s="1"/>
  <c r="B28" i="1" l="1"/>
  <c r="B30" i="1" s="1"/>
  <c r="J9" i="1"/>
  <c r="J10" i="1"/>
  <c r="J11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M10" i="1"/>
  <c r="M11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9" i="1"/>
  <c r="O18" i="1"/>
  <c r="O26" i="1" l="1"/>
  <c r="O24" i="1"/>
  <c r="O22" i="1"/>
  <c r="O20" i="1"/>
  <c r="O16" i="1"/>
  <c r="O14" i="1"/>
  <c r="O10" i="1"/>
  <c r="O8" i="1" l="1"/>
  <c r="M111" i="3"/>
  <c r="J111" i="3"/>
  <c r="Q110" i="3" a="1"/>
  <c r="Q11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<sst xmlns="http://schemas.openxmlformats.org/spreadsheetml/2006/main" count="5676" uniqueCount="440">
  <si>
    <t>LTCD-WET-EDRC-C&amp;I</t>
  </si>
  <si>
    <t>REV : A</t>
  </si>
  <si>
    <t>JB DETAILS</t>
  </si>
  <si>
    <t>CABLE TYPE</t>
  </si>
  <si>
    <t>CABLE TAG</t>
  </si>
  <si>
    <t>EQUIPMENT</t>
  </si>
  <si>
    <t>TERMINAL</t>
  </si>
  <si>
    <t>CABLE/DEVICE TAG</t>
  </si>
  <si>
    <t>DESCRIPTION</t>
  </si>
  <si>
    <t>ANALOG-FIELD INSTRUMENTS TO CONTROL PANEL(PLC)</t>
  </si>
  <si>
    <t>1</t>
  </si>
  <si>
    <t>(+)</t>
  </si>
  <si>
    <t>(-)</t>
  </si>
  <si>
    <t>1C</t>
  </si>
  <si>
    <t>2C</t>
  </si>
  <si>
    <t>3C</t>
  </si>
  <si>
    <t>4C</t>
  </si>
  <si>
    <t>5C</t>
  </si>
  <si>
    <t>6C</t>
  </si>
  <si>
    <t>7C</t>
  </si>
  <si>
    <t>8C</t>
  </si>
  <si>
    <t>9C</t>
  </si>
  <si>
    <t>REV.A</t>
  </si>
  <si>
    <t>DRIVE TAG</t>
  </si>
  <si>
    <t xml:space="preserve"> DESCRIPTION</t>
  </si>
  <si>
    <t>SIGNAL DESCRIPTION</t>
  </si>
  <si>
    <t>MCC DETAILS</t>
  </si>
  <si>
    <t>CORE</t>
  </si>
  <si>
    <t xml:space="preserve">MCC   </t>
  </si>
  <si>
    <t>DRIVE DESCRIPTION</t>
  </si>
  <si>
    <t>10C</t>
  </si>
  <si>
    <t>COMMON</t>
  </si>
  <si>
    <t>S.NO</t>
  </si>
  <si>
    <t>*</t>
  </si>
  <si>
    <t>SPARE</t>
  </si>
  <si>
    <t>TERMINAL BLOCK</t>
  </si>
  <si>
    <t>TERMINALS</t>
  </si>
  <si>
    <t>CORE NUMBER</t>
  </si>
  <si>
    <t>DIGITAL-FIELD INSTRUMENTS TO CONTROL PANEL(PLC)</t>
  </si>
  <si>
    <t>NO</t>
  </si>
  <si>
    <t>C</t>
  </si>
  <si>
    <t>ON feedback</t>
  </si>
  <si>
    <t>OFF feedback</t>
  </si>
  <si>
    <t>ON command</t>
  </si>
  <si>
    <t>OFF command</t>
  </si>
  <si>
    <t>-</t>
  </si>
  <si>
    <t>L&amp;T CONSTRUCTION
WATER &amp; EFFLUENT TREATMENT</t>
  </si>
  <si>
    <t>CONSULTANT: -</t>
  </si>
  <si>
    <t>CLIENT</t>
  </si>
  <si>
    <t>PUNJAB WATER SUPPLY &amp; SEWERAGE BOARD (PWSSB)</t>
  </si>
  <si>
    <t>TERMINATING AT PLC END</t>
  </si>
  <si>
    <t>REMARKS</t>
  </si>
  <si>
    <t>CONTRACTOR: -</t>
  </si>
  <si>
    <t>ORIGINATING FROM FIELD END</t>
  </si>
  <si>
    <t>MOV TO PLC SIGNALS</t>
  </si>
  <si>
    <t>A</t>
  </si>
  <si>
    <t>DATE</t>
  </si>
  <si>
    <t>REV. NO.</t>
  </si>
  <si>
    <t>PREPARED</t>
  </si>
  <si>
    <t>CHECKED</t>
  </si>
  <si>
    <t>APPROVED</t>
  </si>
  <si>
    <t>CLIENT :</t>
  </si>
  <si>
    <t>CONSULTANT</t>
  </si>
  <si>
    <t>SUPPLIER / CONTRACTOR:</t>
  </si>
  <si>
    <t>L&amp;T CONSTRUCTION - WATER &amp; EFFLUENT TREATMENT IC</t>
  </si>
  <si>
    <t>Job No</t>
  </si>
  <si>
    <t>TITLE :</t>
  </si>
  <si>
    <t>NAME</t>
  </si>
  <si>
    <t>SIGN</t>
  </si>
  <si>
    <t>PRED</t>
  </si>
  <si>
    <t>CHKD</t>
  </si>
  <si>
    <t>PN</t>
  </si>
  <si>
    <t>APPD</t>
  </si>
  <si>
    <t>RPV</t>
  </si>
  <si>
    <t>SIZE</t>
  </si>
  <si>
    <t>REV.</t>
  </si>
  <si>
    <t>DOC.No.</t>
  </si>
  <si>
    <t>L</t>
  </si>
  <si>
    <t>E</t>
  </si>
  <si>
    <t>M</t>
  </si>
  <si>
    <t>I</t>
  </si>
  <si>
    <t>W</t>
  </si>
  <si>
    <t>S</t>
  </si>
  <si>
    <t>A3</t>
  </si>
  <si>
    <t>RELEASED FOR</t>
  </si>
  <si>
    <t xml:space="preserve">  PRELIMINARY</t>
  </si>
  <si>
    <t>TENDER</t>
  </si>
  <si>
    <t>INFORMATION</t>
  </si>
  <si>
    <t>APPROVAL</t>
  </si>
  <si>
    <t>CONSTRUCTION</t>
  </si>
  <si>
    <t>VFD DETAILS</t>
  </si>
  <si>
    <t>VFD</t>
  </si>
  <si>
    <t>Note: 
PLC Panel terminals are yet to be finalized and will be updated on final PLC wiring diagram.</t>
  </si>
  <si>
    <t xml:space="preserve">CLIENT: </t>
  </si>
  <si>
    <t>ORIGINATING FROM VFD END</t>
  </si>
  <si>
    <t>MCC PANEL TO PLC</t>
  </si>
  <si>
    <t>FOR INFORMATION</t>
  </si>
  <si>
    <t>DATE:</t>
  </si>
  <si>
    <t xml:space="preserve">DATE: </t>
  </si>
  <si>
    <t>HIGH</t>
  </si>
  <si>
    <t>LOW</t>
  </si>
  <si>
    <r>
      <t xml:space="preserve">This document is the property of </t>
    </r>
    <r>
      <rPr>
        <b/>
        <sz val="10"/>
        <rFont val="Aptos"/>
        <family val="2"/>
      </rPr>
      <t xml:space="preserve">Larsen &amp; Toubro Limited, </t>
    </r>
    <r>
      <rPr>
        <sz val="10"/>
        <rFont val="Aptos"/>
        <family val="2"/>
      </rPr>
      <t>ECC Division - EDRC and must not be passed on to any third person or firm not authorised by us, nor be copied/made use of in full or part by such person or firm without our prior permission writing</t>
    </r>
  </si>
  <si>
    <r>
      <rPr>
        <b/>
        <i/>
        <sz val="14"/>
        <rFont val="Aptos"/>
        <family val="2"/>
      </rPr>
      <t>L&amp;T CONSTRUCTION</t>
    </r>
    <r>
      <rPr>
        <b/>
        <sz val="14"/>
        <rFont val="Aptos"/>
        <family val="2"/>
      </rPr>
      <t xml:space="preserve">
WATER &amp; EFFLUENT TREATMENT - WATER SUPPLY &amp; DISTRIBUTION</t>
    </r>
  </si>
  <si>
    <t>MZK</t>
  </si>
  <si>
    <r>
      <rPr>
        <b/>
        <sz val="18"/>
        <rFont val="Aptos"/>
        <family val="2"/>
      </rPr>
      <t>Note:</t>
    </r>
    <r>
      <rPr>
        <sz val="18"/>
        <rFont val="Aptos"/>
        <family val="2"/>
      </rPr>
      <t xml:space="preserve"> 
Separate power cable shall be considered for Flow Transmitter (4-wire Instrument).
PLC Panel terminals are yet to be finalized and will be updated on final PLC wiring diagram.</t>
    </r>
  </si>
  <si>
    <r>
      <rPr>
        <b/>
        <sz val="18"/>
        <rFont val="Aptos"/>
        <family val="2"/>
      </rPr>
      <t>Note:</t>
    </r>
    <r>
      <rPr>
        <sz val="18"/>
        <rFont val="Aptos"/>
        <family val="2"/>
      </rPr>
      <t xml:space="preserve"> 
PLC Panel terminals are yet to be finalized and will be updated on final PLC wiring diagram.</t>
    </r>
  </si>
  <si>
    <r>
      <rPr>
        <b/>
        <sz val="18"/>
        <rFont val="Aptos"/>
        <family val="2"/>
      </rPr>
      <t>Note:</t>
    </r>
    <r>
      <rPr>
        <sz val="18"/>
        <rFont val="Aptos"/>
        <family val="2"/>
      </rPr>
      <t xml:space="preserve"> 
PLC Panel terminals are yet to be finalized and will be updated on final PLC wiring diagram.
MFM of VFDs are communicated to PLC through RS-485 Communication.</t>
    </r>
  </si>
  <si>
    <t>FERRULE:
PLC END</t>
  </si>
  <si>
    <t>FERRULE:
PLC-JB END</t>
  </si>
  <si>
    <t>FERRULE:
JB-FIELD END</t>
  </si>
  <si>
    <t>FERRULE:
FIELD END</t>
  </si>
  <si>
    <t>MOV :
TERMINAL</t>
  </si>
  <si>
    <t>FERRULE:
MCC END</t>
  </si>
  <si>
    <t>FERRULE:
VFD END</t>
  </si>
  <si>
    <t>START command</t>
  </si>
  <si>
    <t>STOP command</t>
  </si>
  <si>
    <t>LE22M232-I-WS-RW-CI-5010</t>
  </si>
  <si>
    <t>R</t>
  </si>
  <si>
    <t>DESIGN AND CONSTRUCTION FOR DHANKI TO TOKRALA (UPTO NATIONAL HIGHWAY CROSSING) BULK PIPELINE 45 KMS INCLUDING CONSTRUCTION OF RCC U/G SUMP, PUMP HOUSE, SITC OF PUMPING MACHINERY AND ANCILLARY WORKS AT DHANKI PUMPING STATION WITH 10 YEARS COMPREHENSIVE OPERATION &amp; MAINTENANCE UNDER DHANKI TO NAVDA PIPELINE PROJECT (PACKAGE NO-1 NC 42)</t>
  </si>
  <si>
    <t>DOCUMENT NAME: INSTRUMENTATION CABLE INTERCONNECTION SCHEDULE FOR DHANKI PUMPING STATION</t>
  </si>
  <si>
    <t>GUJARAT WATER INFRASTRUCTURE LIMITED (GWIL), GANDHINAGAR</t>
  </si>
  <si>
    <t>PROJECT:</t>
  </si>
  <si>
    <t>INSTRUMENTATION CABLE INTERCONNECTION SCHEDULE FOR DHANKI PUMPING STATION</t>
  </si>
  <si>
    <t>LT-01</t>
  </si>
  <si>
    <t>PT-01</t>
  </si>
  <si>
    <t>PT-02</t>
  </si>
  <si>
    <t>PT-03</t>
  </si>
  <si>
    <t>PT-04</t>
  </si>
  <si>
    <t>PT-05</t>
  </si>
  <si>
    <t>PT-06</t>
  </si>
  <si>
    <t>PT-07</t>
  </si>
  <si>
    <t>PT-08</t>
  </si>
  <si>
    <t>PT-09</t>
  </si>
  <si>
    <t>PT-10</t>
  </si>
  <si>
    <t>FT-01</t>
  </si>
  <si>
    <t>Raw water sump - Level measurement, Local &amp; remote indication</t>
  </si>
  <si>
    <t>Vertical Turbine Pump 01 discharge - Pressure measurement, Local &amp; Remote indication</t>
  </si>
  <si>
    <t>Vertical Turbine Pump 02 discharge - Pressure measurement, Local &amp; Remote indication</t>
  </si>
  <si>
    <t>Vertical Turbine Pump 03 discharge - Pressure measurement, Local &amp; Remote indication</t>
  </si>
  <si>
    <t>Vertical Turbine Pump 04 discharge - Pressure measurement, Local &amp; Remote indication</t>
  </si>
  <si>
    <t>Vertical Turbine Pump 05 discharge - Pressure measurement, Local &amp; Remote indication</t>
  </si>
  <si>
    <t>Vertical Turbine Pump 06 discharge - Pressure measurement, Local &amp; Remote indication</t>
  </si>
  <si>
    <t>Vertical Turbine Pump 07 discharge - Pressure measurement, Local &amp; Remote indication</t>
  </si>
  <si>
    <t>Vertical Turbine Pump 08 discharge - Pressure measurement, Local &amp; Remote indication</t>
  </si>
  <si>
    <t>Vertical Turbine Pump 09 discharge - Pressure measurement, Local &amp; Remote indication</t>
  </si>
  <si>
    <t>Vertical Turbine Pumps 01 to 09 common discharge - Pressure measurement, Local &amp; Remote indication</t>
  </si>
  <si>
    <t>Vertical Turbine Pumps 01 to 09 common discharge - Flow measurement, Local &amp; Remote indication</t>
  </si>
  <si>
    <t>LS-01</t>
  </si>
  <si>
    <t>Raw water sump - High High, High, Low &amp; Low Low Level switching</t>
  </si>
  <si>
    <t>MSG-01</t>
  </si>
  <si>
    <t>MSG-02</t>
  </si>
  <si>
    <t>MBFV-01</t>
  </si>
  <si>
    <t>MBFV-02</t>
  </si>
  <si>
    <t>MBFV-03</t>
  </si>
  <si>
    <t>MBFV-04</t>
  </si>
  <si>
    <t>MBFV-05</t>
  </si>
  <si>
    <t>MBFV-06</t>
  </si>
  <si>
    <t>MBFV-07</t>
  </si>
  <si>
    <t>MBFV-08</t>
  </si>
  <si>
    <t>MBFV-09</t>
  </si>
  <si>
    <t>MBFV-10</t>
  </si>
  <si>
    <t>MBFV-11</t>
  </si>
  <si>
    <t>MBFV-12</t>
  </si>
  <si>
    <t>MBFV-13</t>
  </si>
  <si>
    <t>MBFV-14</t>
  </si>
  <si>
    <t>MBFV-15</t>
  </si>
  <si>
    <t>MBFV-16</t>
  </si>
  <si>
    <t>MBFV-17</t>
  </si>
  <si>
    <t>MBFV-18</t>
  </si>
  <si>
    <t>MBFV-19</t>
  </si>
  <si>
    <t>Approach Channel 1 to sump inlet Motorized Sluice Gate</t>
  </si>
  <si>
    <t>Approach Channel 2 to sump inlet Motorized Sluice Gate</t>
  </si>
  <si>
    <t>OPEN LIMIT SWITCH feedback</t>
  </si>
  <si>
    <t>CLOSE LIMIT SWITCH feedback</t>
  </si>
  <si>
    <t>ACTUATOR LOCAL/REMOTE SELECTOR SWITCH feedback</t>
  </si>
  <si>
    <t>ACTUATOR FAULT/TRIP feedback</t>
  </si>
  <si>
    <t xml:space="preserve">VTP-01 discharge side Motorised Butterfly Valve MBFV - 01 </t>
  </si>
  <si>
    <t xml:space="preserve">VTP-01 discharge side Motorised Butterfly Valve MBFV - 02 </t>
  </si>
  <si>
    <t xml:space="preserve">VTP-02 discharge side Motorised Butterfly Valve MBFV - 03 </t>
  </si>
  <si>
    <t xml:space="preserve">VTP-02 discharge side Motorised Butterfly Valve MBFV - 04 </t>
  </si>
  <si>
    <t xml:space="preserve">VTP-03 discharge side Motorised Butterfly Valve MBFV - 05 </t>
  </si>
  <si>
    <t xml:space="preserve">VTP-03 discharge side Motorised Butterfly Valve MBFV - 06 </t>
  </si>
  <si>
    <t xml:space="preserve">VTP-04 discharge side Motorised Butterfly Valve MBFV - 07 </t>
  </si>
  <si>
    <t xml:space="preserve">VTP-04 discharge side Motorised Butterfly Valve MBFV - 08 </t>
  </si>
  <si>
    <t xml:space="preserve">VTP-05 discharge side Motorised Butterfly Valve MBFV - 09 </t>
  </si>
  <si>
    <t xml:space="preserve">VTP-05 discharge side Motorised Butterfly Valve MBFV - 10 </t>
  </si>
  <si>
    <t xml:space="preserve">VTP-06 discharge side Motorised Butterfly Valve MBFV - 11 </t>
  </si>
  <si>
    <t xml:space="preserve">VTP-06 discharge side Motorised Butterfly Valve MBFV - 12 </t>
  </si>
  <si>
    <t xml:space="preserve">VTP-07 discharge side Motorised Butterfly Valve MBFV - 13 </t>
  </si>
  <si>
    <t xml:space="preserve">VTP-07 discharge side Motorised Butterfly Valve MBFV - 14 </t>
  </si>
  <si>
    <t xml:space="preserve">VTP-08 discharge side Motorised Butterfly Valve MBFV - 15 </t>
  </si>
  <si>
    <t xml:space="preserve">VTP-08 discharge side Motorised Butterfly Valve MBFV - 16 </t>
  </si>
  <si>
    <t xml:space="preserve">VTP-09 discharge side Motorised Butterfly Valve MBFV - 17 </t>
  </si>
  <si>
    <t xml:space="preserve">VTP-09 discharge side Motorised Butterfly Valve MBFV - 18 </t>
  </si>
  <si>
    <t xml:space="preserve">VTP-01 to VTP-09 discharge side Motorised Butterfly Valve MBFV - 19 </t>
  </si>
  <si>
    <t>2P x 1.0 SQ. MM</t>
  </si>
  <si>
    <t>HIGH HIGH</t>
  </si>
  <si>
    <t>LOW LOW</t>
  </si>
  <si>
    <t>OPEN command</t>
  </si>
  <si>
    <t>CLOSE command</t>
  </si>
  <si>
    <t>10C x 1.0 SQ. MM
(9th &amp; 10th CORE SPARE)</t>
  </si>
  <si>
    <t>12C x 1.0 SQ. MM
(11th &amp; 12th CORE SPARE)</t>
  </si>
  <si>
    <t>Vertical Turbine Pump 01 VFD</t>
  </si>
  <si>
    <t>Vertical Turbine Pump 02 VFD</t>
  </si>
  <si>
    <t>Vertical Turbine Pump - 01</t>
  </si>
  <si>
    <t>Vertical Turbine Pump - 02</t>
  </si>
  <si>
    <t>Vertical Turbine Pump - 03</t>
  </si>
  <si>
    <t>Vertical Turbine Pump - 04</t>
  </si>
  <si>
    <t>Vertical Turbine Pump - 05</t>
  </si>
  <si>
    <t>Vertical Turbine Pump - 06</t>
  </si>
  <si>
    <t>Vertical Turbine Pump - 07</t>
  </si>
  <si>
    <t>Vertical Turbine Pump - 08</t>
  </si>
  <si>
    <t>Vertical Turbine Pump - 09</t>
  </si>
  <si>
    <t>RUN feedback</t>
  </si>
  <si>
    <t>STOP feedback</t>
  </si>
  <si>
    <t>LOCAL/REMOTE selector switch feedback</t>
  </si>
  <si>
    <t>FAULT/TRIP feedback</t>
  </si>
  <si>
    <t>4P x 1.0 SQ. MM</t>
  </si>
  <si>
    <t>Vertical Turbine Pump 07 VFD</t>
  </si>
  <si>
    <t>Vertical Turbine Pump 08 VFD</t>
  </si>
  <si>
    <t>Vertical Turbine Pump 09 VFD</t>
  </si>
  <si>
    <t>VTP-03/FCMA SS</t>
  </si>
  <si>
    <t>VTP-01/HT</t>
  </si>
  <si>
    <t>VTP-02/HT</t>
  </si>
  <si>
    <t>VTP-03/HT</t>
  </si>
  <si>
    <t>ON Command</t>
  </si>
  <si>
    <t>OFF Command</t>
  </si>
  <si>
    <t>VTP-04/HT</t>
  </si>
  <si>
    <t>VTP-05/HT</t>
  </si>
  <si>
    <t>VTP-06/HT</t>
  </si>
  <si>
    <t>VTP-07/HT</t>
  </si>
  <si>
    <t>VTP-08/HT</t>
  </si>
  <si>
    <t>VTP-09/HT</t>
  </si>
  <si>
    <t>VTP-04/FCMA SS</t>
  </si>
  <si>
    <t>VTP-05/FCMA SS</t>
  </si>
  <si>
    <t>VTP-06/FCMA SS</t>
  </si>
  <si>
    <t>66KV-HT-I/C-01</t>
  </si>
  <si>
    <t>66 KV SF6 CB HT Incomer 01</t>
  </si>
  <si>
    <t>TRIP circit healthy</t>
  </si>
  <si>
    <t>LOW GAS feedback</t>
  </si>
  <si>
    <t>LOCK OUT feedback</t>
  </si>
  <si>
    <t>66KV-HT-I/C-02</t>
  </si>
  <si>
    <t>66KV-HT-I/C-03</t>
  </si>
  <si>
    <t>10MVA-HT-T/R-01</t>
  </si>
  <si>
    <t>10 MVA HT Transformer 01</t>
  </si>
  <si>
    <t>Oil Level LOW Alarm</t>
  </si>
  <si>
    <t>Oil Temperature HIGH</t>
  </si>
  <si>
    <t>Oil Temperature TRIP</t>
  </si>
  <si>
    <t>Winding Temperature HIGH</t>
  </si>
  <si>
    <t>Winding Temperature TRIP</t>
  </si>
  <si>
    <t>Magnetic Oil Gauge LOW Alarm</t>
  </si>
  <si>
    <t>Buchholz Protection Alarm</t>
  </si>
  <si>
    <t>Buchholz Protection Trip</t>
  </si>
  <si>
    <t>Pressure Relief Device Trip</t>
  </si>
  <si>
    <t>OLTC Fault/Trip</t>
  </si>
  <si>
    <t>12C x 1.0 SQ. MM
(12th CORE SPARE)</t>
  </si>
  <si>
    <t>10MVA-HT-T/R-02</t>
  </si>
  <si>
    <t>10 MVA HT Transformer 02</t>
  </si>
  <si>
    <t>66 KV SF6 CB HT Incomer 02</t>
  </si>
  <si>
    <t>66 KV SF6 CB HT Incomer 03</t>
  </si>
  <si>
    <t>6.6 KV HT Incomer 01</t>
  </si>
  <si>
    <t>6.6KV-HT-I/C-01</t>
  </si>
  <si>
    <t>Local/Remote Selector Switch feedback</t>
  </si>
  <si>
    <t>Fault/Trip feedback</t>
  </si>
  <si>
    <t>Trip Circuit healthy</t>
  </si>
  <si>
    <t>Breaker in service position</t>
  </si>
  <si>
    <t>Trip Circuit Healthy</t>
  </si>
  <si>
    <t>6.6KV-HT-I/C-02</t>
  </si>
  <si>
    <t>6.6 KV HT Incomer 02</t>
  </si>
  <si>
    <t>6.6KV-HT-B/C-03</t>
  </si>
  <si>
    <t>6.6 KV HT Bus Coupler 01</t>
  </si>
  <si>
    <t>6.6/0.433KV-T/R-I/C-01</t>
  </si>
  <si>
    <t>6.6/0.433 KV Transformer Incomer 01</t>
  </si>
  <si>
    <t>6.6/0.433KV-T/R-I/C-02</t>
  </si>
  <si>
    <t>6.6/0.433 KV Transformer Incomer 02</t>
  </si>
  <si>
    <t>415V-LT-I/C-01</t>
  </si>
  <si>
    <t>415 V LT Incomer 01</t>
  </si>
  <si>
    <t>415V-LT-I/C-02</t>
  </si>
  <si>
    <t>415 V LT Incomer 02</t>
  </si>
  <si>
    <t>417 V LT Bus Coupler 01</t>
  </si>
  <si>
    <t>415V-LT-B/C-01</t>
  </si>
  <si>
    <t>66KV-HT-BTC-01</t>
  </si>
  <si>
    <t>110V, 100 Ah Battery Charger for 66 KV Control &amp; Relay Panel</t>
  </si>
  <si>
    <t>TRIP feedback</t>
  </si>
  <si>
    <t>OVER VOLTAGE feedback</t>
  </si>
  <si>
    <t>UNDER VOLTAGE on DC side feedback</t>
  </si>
  <si>
    <t>10C x 1.0 SQ. MM
(7th to 10th CORE SPARE)</t>
  </si>
  <si>
    <t>6.6KV-HT-BTC-01</t>
  </si>
  <si>
    <t>110V, 200 Ah Battery Charger for 6.6 KV HT Panel</t>
  </si>
  <si>
    <t>UPS-01</t>
  </si>
  <si>
    <t>Uninterruptible Power Supply 01</t>
  </si>
  <si>
    <t>Rectifier TRIP feedback</t>
  </si>
  <si>
    <t>Inverter TRIP feedback</t>
  </si>
  <si>
    <t>Load on Battery</t>
  </si>
  <si>
    <t>Battery Alarm LOW</t>
  </si>
  <si>
    <t>Load on Static Bypass</t>
  </si>
  <si>
    <t>VTP-01/VFD</t>
  </si>
  <si>
    <t>VTP-02/VFD</t>
  </si>
  <si>
    <t>VTP-07/VFD</t>
  </si>
  <si>
    <t>VTP-08/VFD</t>
  </si>
  <si>
    <t>VTP-09/VFD</t>
  </si>
  <si>
    <t>LE22M232</t>
  </si>
  <si>
    <t>Vertical Turbine Drive 01 VFD - Speed Reference</t>
  </si>
  <si>
    <t>Vertical Turbine Drive 01 VFD - Speed Control</t>
  </si>
  <si>
    <t>Vertical Turbine Drive 02 VFD - Speed Reference</t>
  </si>
  <si>
    <t>Vertical Turbine Drive 02 VFD - Speed Control</t>
  </si>
  <si>
    <t>Vertical Turbine Drive 07 VFD - Speed Reference</t>
  </si>
  <si>
    <t>Vertical Turbine Drive 07 VFD - Speed Control</t>
  </si>
  <si>
    <t>Vertical Turbine Drive 08 VFD - Speed Reference</t>
  </si>
  <si>
    <t>Vertical Turbine Drive 08 VFD - Speed Control</t>
  </si>
  <si>
    <t>Vertical Turbine Drive 09 VFD - Speed Reference</t>
  </si>
  <si>
    <t>Vertical Turbine Drive 09 VFD - Speed Control</t>
  </si>
  <si>
    <t>TS-01</t>
  </si>
  <si>
    <t>TS-02</t>
  </si>
  <si>
    <t>TS-03</t>
  </si>
  <si>
    <t>TS-04</t>
  </si>
  <si>
    <t>TS-05</t>
  </si>
  <si>
    <t>TS-06</t>
  </si>
  <si>
    <t>TS-07</t>
  </si>
  <si>
    <t>TS-08</t>
  </si>
  <si>
    <t>TS-09</t>
  </si>
  <si>
    <t>RACK NUMBER</t>
  </si>
  <si>
    <t>SLOT NUMBER</t>
  </si>
  <si>
    <t>11C</t>
  </si>
  <si>
    <t>12C</t>
  </si>
  <si>
    <t>13C</t>
  </si>
  <si>
    <t>14C</t>
  </si>
  <si>
    <t>15C</t>
  </si>
  <si>
    <t>Note: 
PLC Panel terminals are yet to be finalized and will be updated on final PLC wiring diagram.
MFM of Incomers are communicated to PLC through RS-485 Communication.</t>
  </si>
  <si>
    <t>10C x 1.0 SQ. MM
(6th to 10th CORE SPARE)</t>
  </si>
  <si>
    <t>15C x 1.0 SQ. MM
(12th to 15th CORE SPARE)</t>
  </si>
  <si>
    <t>1T</t>
  </si>
  <si>
    <t>2T</t>
  </si>
  <si>
    <t>3T</t>
  </si>
  <si>
    <t>4T</t>
  </si>
  <si>
    <t>5T</t>
  </si>
  <si>
    <t>6T</t>
  </si>
  <si>
    <t>7T</t>
  </si>
  <si>
    <t>8T</t>
  </si>
  <si>
    <t>9T</t>
  </si>
  <si>
    <t>10T</t>
  </si>
  <si>
    <t>11T</t>
  </si>
  <si>
    <t>12T</t>
  </si>
  <si>
    <t>Winding Temperature HIGH Feedback</t>
  </si>
  <si>
    <t>Winding Temperature TRIP Feedback</t>
  </si>
  <si>
    <t>Bearing Temperature HIGH Feedback</t>
  </si>
  <si>
    <t>Bearing Temperature TRIP Feedback</t>
  </si>
  <si>
    <t>Vertical Turbine Pump 01 - Temperature Scanner 01</t>
  </si>
  <si>
    <t>Vertical Turbine Pump 02 - Temperature Scanner 02</t>
  </si>
  <si>
    <t>Vertical Turbine Pump 03 - Temperature Scanner 03</t>
  </si>
  <si>
    <t>Vertical Turbine Pump 04 - Temperature Scanner 04</t>
  </si>
  <si>
    <t>Vertical Turbine Pump 05 - Temperature Scanner 05</t>
  </si>
  <si>
    <t>Vertical Turbine Pump 06 - Temperature Scanner 06</t>
  </si>
  <si>
    <t>Vertical Turbine Pump 07 - Temperature Scanner 07</t>
  </si>
  <si>
    <t>Vertical Turbine Pump 08 - Temperature Scanner 08</t>
  </si>
  <si>
    <t>Vertical Turbine Pump 09 - Temperature Scanner 09</t>
  </si>
  <si>
    <t>DATE: 11-12-2024</t>
  </si>
  <si>
    <t>FERRULE - TEMPERATURE SCANNER END</t>
  </si>
  <si>
    <t>FERRULE - FIELD END</t>
  </si>
  <si>
    <t>ORIGINATING FROM (FIELD END)</t>
  </si>
  <si>
    <t>Remarks</t>
  </si>
  <si>
    <t>CLIENT:</t>
  </si>
  <si>
    <t>CONSULTANT:-</t>
  </si>
  <si>
    <t>S. NO</t>
  </si>
  <si>
    <t>TRI DECKER TERMINAL</t>
  </si>
  <si>
    <t>TRIAD NUMBER</t>
  </si>
  <si>
    <t>TEMPERATURE SCANNER TO PLC</t>
  </si>
  <si>
    <t>ORIGINATING FROM TEMPERATURE SCANNER</t>
  </si>
  <si>
    <t>DIGITAL-TEMPERATURE SCANNER TO PLC</t>
  </si>
  <si>
    <t>TERMINATING AT (TEMPERATURE SCANNER END AT PLC PANEL )</t>
  </si>
  <si>
    <t>CHANNEL NUMBER</t>
  </si>
  <si>
    <t>CH1</t>
  </si>
  <si>
    <t>CH2</t>
  </si>
  <si>
    <t>CH3</t>
  </si>
  <si>
    <t>CH4</t>
  </si>
  <si>
    <t>CH5</t>
  </si>
  <si>
    <t>CH6</t>
  </si>
  <si>
    <t>CH7</t>
  </si>
  <si>
    <t>CH8</t>
  </si>
  <si>
    <t>12T x 1.0 SQ. MM
(9th to 12th TRIAD SPARE)</t>
  </si>
  <si>
    <t>CH9</t>
  </si>
  <si>
    <t>CH10</t>
  </si>
  <si>
    <t>CH11</t>
  </si>
  <si>
    <t>CH12</t>
  </si>
  <si>
    <t>CH13</t>
  </si>
  <si>
    <t>CH14</t>
  </si>
  <si>
    <t>CH15</t>
  </si>
  <si>
    <t>CH16</t>
  </si>
  <si>
    <t>CH17</t>
  </si>
  <si>
    <t>CH18</t>
  </si>
  <si>
    <t>CH19</t>
  </si>
  <si>
    <t>CH20</t>
  </si>
  <si>
    <t>CH21</t>
  </si>
  <si>
    <t>CH22</t>
  </si>
  <si>
    <t>CH23</t>
  </si>
  <si>
    <t>CH24</t>
  </si>
  <si>
    <t>CH25</t>
  </si>
  <si>
    <t>CH26</t>
  </si>
  <si>
    <t>CH27</t>
  </si>
  <si>
    <t>CH28</t>
  </si>
  <si>
    <t>CH29</t>
  </si>
  <si>
    <t>CH30</t>
  </si>
  <si>
    <t>CH31</t>
  </si>
  <si>
    <t>CH32</t>
  </si>
  <si>
    <t>CH33</t>
  </si>
  <si>
    <t>CH34</t>
  </si>
  <si>
    <t>CH35</t>
  </si>
  <si>
    <t>CH36</t>
  </si>
  <si>
    <t>CH37</t>
  </si>
  <si>
    <t>CH38</t>
  </si>
  <si>
    <t>CH39</t>
  </si>
  <si>
    <t>CH40</t>
  </si>
  <si>
    <t>CH41</t>
  </si>
  <si>
    <t>CH42</t>
  </si>
  <si>
    <t>CH43</t>
  </si>
  <si>
    <t>CH44</t>
  </si>
  <si>
    <t>CH45</t>
  </si>
  <si>
    <t>CH46</t>
  </si>
  <si>
    <t>CH47</t>
  </si>
  <si>
    <t>CH48</t>
  </si>
  <si>
    <t>LARSEN &amp; TOUBRO CONSTRUCTION
WATER &amp; EFFLUENT TREATMENT</t>
  </si>
  <si>
    <t>VFD-01</t>
  </si>
  <si>
    <t>VFD-02</t>
  </si>
  <si>
    <t>VFD-03</t>
  </si>
  <si>
    <t>VFD-04</t>
  </si>
  <si>
    <t>VFD-05</t>
  </si>
  <si>
    <t>X2: 29</t>
  </si>
  <si>
    <t>X2: 33</t>
  </si>
  <si>
    <t>X2: 34</t>
  </si>
  <si>
    <t>X2: 27</t>
  </si>
  <si>
    <t>NA</t>
  </si>
  <si>
    <t>X2: 7</t>
  </si>
  <si>
    <t>X2: 9</t>
  </si>
  <si>
    <t>X2: 10</t>
  </si>
  <si>
    <t>X3: 1</t>
  </si>
  <si>
    <t>X3: 2</t>
  </si>
  <si>
    <t>X3: 7</t>
  </si>
  <si>
    <t>X3: 8</t>
  </si>
  <si>
    <t>VARIABLE FREQUENCY DRIVE (VFD) TO PLC - DIGITAL</t>
  </si>
  <si>
    <t>VARIABLE FREQUENCY DRIVE (VFD) TO PLC - ANALOG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</si>
</sst>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009]dd/mm/yy;@"/>
    <numFmt numFmtId="165" formatCode="00"/>
  </numFmts>
  <fonts count="21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sz val="10"/>
      <name val="Aptos"/>
      <family val="2"/>
    </font>
    <font>
      <b/>
      <sz val="10"/>
      <name val="Aptos"/>
      <family val="2"/>
    </font>
    <font>
      <sz val="12"/>
      <name val="Aptos"/>
      <family val="2"/>
    </font>
    <font>
      <b/>
      <sz val="14"/>
      <name val="Aptos"/>
      <family val="2"/>
    </font>
    <font>
      <b/>
      <i/>
      <sz val="14"/>
      <name val="Aptos"/>
      <family val="2"/>
    </font>
    <font>
      <b/>
      <sz val="12"/>
      <name val="Aptos"/>
      <family val="2"/>
    </font>
    <font>
      <b/>
      <sz val="9"/>
      <name val="Aptos"/>
      <family val="2"/>
    </font>
    <font>
      <b/>
      <sz val="12"/>
      <color rgb="FFFF0000"/>
      <name val="Aptos"/>
      <family val="2"/>
    </font>
    <font>
      <sz val="16"/>
      <color rgb="FFFF0000"/>
      <name val="Aptos"/>
      <family val="2"/>
    </font>
    <font>
      <sz val="9"/>
      <name val="Aptos"/>
      <family val="2"/>
    </font>
    <font>
      <sz val="12"/>
      <color indexed="18"/>
      <name val="Aptos"/>
      <family val="2"/>
    </font>
    <font>
      <b/>
      <sz val="18"/>
      <name val="Aptos"/>
      <family val="2"/>
    </font>
    <font>
      <sz val="18"/>
      <name val="Aptos"/>
      <family val="2"/>
    </font>
    <font>
      <sz val="18"/>
      <color theme="1"/>
      <name val="Aptos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186">
    <xf numFmtId="0" fontId="0" fillId="0" borderId="0" xfId="0"/>
    <xf numFmtId="0" fontId="0" fillId="2" borderId="0" xfId="0" applyFill="1"/>
    <xf numFmtId="0" fontId="4" fillId="0" borderId="0" xfId="0" applyFont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vertical="top"/>
    </xf>
    <xf numFmtId="0" fontId="5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9" fillId="0" borderId="25" xfId="6" applyFont="1" applyBorder="1" applyAlignment="1" applyProtection="1">
      <alignment vertical="center"/>
      <protection locked="0"/>
    </xf>
    <xf numFmtId="0" fontId="9" fillId="0" borderId="23" xfId="6" applyFont="1" applyBorder="1" applyAlignment="1" applyProtection="1">
      <alignment vertical="center"/>
      <protection locked="0"/>
    </xf>
    <xf numFmtId="0" fontId="9" fillId="0" borderId="14" xfId="6" applyFont="1" applyBorder="1" applyAlignment="1" applyProtection="1">
      <alignment vertical="center"/>
      <protection locked="0"/>
    </xf>
    <xf numFmtId="0" fontId="9" fillId="0" borderId="0" xfId="6" applyFont="1" applyAlignment="1" applyProtection="1">
      <alignment vertical="center"/>
      <protection locked="0"/>
    </xf>
    <xf numFmtId="0" fontId="9" fillId="0" borderId="17" xfId="6" applyFont="1" applyBorder="1" applyAlignment="1" applyProtection="1">
      <alignment vertical="center"/>
      <protection locked="0"/>
    </xf>
    <xf numFmtId="0" fontId="9" fillId="0" borderId="18" xfId="6" applyFont="1" applyBorder="1" applyAlignment="1" applyProtection="1">
      <alignment vertical="center"/>
      <protection locked="0"/>
    </xf>
    <xf numFmtId="0" fontId="9" fillId="0" borderId="16" xfId="6" applyFont="1" applyBorder="1" applyAlignment="1" applyProtection="1">
      <alignment vertical="center"/>
      <protection locked="0"/>
    </xf>
    <xf numFmtId="0" fontId="9" fillId="0" borderId="17" xfId="6" applyFont="1" applyBorder="1" applyAlignment="1" applyProtection="1">
      <alignment horizontal="center" vertical="center"/>
      <protection locked="0"/>
    </xf>
    <xf numFmtId="0" fontId="9" fillId="0" borderId="18" xfId="6" applyFont="1" applyBorder="1" applyAlignment="1" applyProtection="1">
      <alignment horizontal="left" vertical="center"/>
      <protection locked="0"/>
    </xf>
    <xf numFmtId="0" fontId="9" fillId="0" borderId="17" xfId="6" applyFont="1" applyBorder="1" applyAlignment="1">
      <alignment vertical="center"/>
    </xf>
    <xf numFmtId="0" fontId="9" fillId="0" borderId="18" xfId="6" applyFont="1" applyBorder="1" applyAlignment="1">
      <alignment vertical="center"/>
    </xf>
    <xf numFmtId="0" fontId="8" fillId="0" borderId="9" xfId="6" applyFont="1" applyBorder="1" applyAlignment="1">
      <alignment horizontal="left" vertical="center"/>
    </xf>
    <xf numFmtId="0" fontId="8" fillId="0" borderId="10" xfId="6" applyFont="1" applyBorder="1" applyAlignment="1">
      <alignment horizontal="left" vertical="center"/>
    </xf>
    <xf numFmtId="0" fontId="12" fillId="0" borderId="8" xfId="6" applyFont="1" applyBorder="1" applyAlignment="1">
      <alignment vertical="center"/>
    </xf>
    <xf numFmtId="0" fontId="8" fillId="0" borderId="9" xfId="6" applyFont="1" applyBorder="1" applyAlignment="1">
      <alignment vertical="center"/>
    </xf>
    <xf numFmtId="0" fontId="8" fillId="0" borderId="9" xfId="6" applyFont="1" applyBorder="1" applyAlignment="1">
      <alignment horizontal="center" vertical="center"/>
    </xf>
    <xf numFmtId="0" fontId="8" fillId="0" borderId="10" xfId="6" applyFont="1" applyBorder="1" applyAlignment="1">
      <alignment horizontal="center" vertical="center"/>
    </xf>
    <xf numFmtId="0" fontId="12" fillId="0" borderId="6" xfId="6" applyFont="1" applyBorder="1" applyAlignment="1" applyProtection="1">
      <alignment vertical="center"/>
      <protection locked="0"/>
    </xf>
    <xf numFmtId="0" fontId="14" fillId="0" borderId="6" xfId="6" applyFont="1" applyBorder="1" applyAlignment="1" applyProtection="1">
      <alignment vertical="center"/>
      <protection locked="0"/>
    </xf>
    <xf numFmtId="0" fontId="12" fillId="0" borderId="7" xfId="6" applyFont="1" applyBorder="1" applyAlignment="1" applyProtection="1">
      <alignment vertical="center"/>
      <protection locked="0"/>
    </xf>
    <xf numFmtId="0" fontId="7" fillId="0" borderId="19" xfId="6" applyFont="1" applyBorder="1" applyAlignment="1" applyProtection="1">
      <alignment horizontal="justify" vertical="justify" textRotation="90" wrapText="1"/>
      <protection locked="0"/>
    </xf>
    <xf numFmtId="0" fontId="15" fillId="0" borderId="0" xfId="6" applyFont="1"/>
    <xf numFmtId="0" fontId="9" fillId="0" borderId="8" xfId="6" applyFont="1" applyBorder="1" applyAlignment="1" applyProtection="1">
      <alignment vertical="center"/>
      <protection locked="0"/>
    </xf>
    <xf numFmtId="0" fontId="9" fillId="0" borderId="9" xfId="6" applyFont="1" applyBorder="1" applyAlignment="1" applyProtection="1">
      <alignment vertical="center"/>
      <protection locked="0"/>
    </xf>
    <xf numFmtId="0" fontId="8" fillId="0" borderId="17" xfId="6" applyFont="1" applyBorder="1" applyAlignment="1">
      <alignment vertical="center"/>
    </xf>
    <xf numFmtId="0" fontId="9" fillId="0" borderId="2" xfId="6" applyFont="1" applyBorder="1" applyAlignment="1" applyProtection="1">
      <alignment horizontal="center" vertical="center" shrinkToFit="1"/>
      <protection locked="0"/>
    </xf>
    <xf numFmtId="0" fontId="9" fillId="0" borderId="18" xfId="6" applyFont="1" applyBorder="1" applyAlignment="1" applyProtection="1">
      <alignment horizontal="left"/>
      <protection locked="0"/>
    </xf>
    <xf numFmtId="0" fontId="17" fillId="0" borderId="0" xfId="6" applyFont="1" applyAlignment="1" applyProtection="1">
      <alignment vertical="center"/>
      <protection locked="0"/>
    </xf>
    <xf numFmtId="0" fontId="9" fillId="0" borderId="4" xfId="6" applyFont="1" applyBorder="1" applyAlignment="1" applyProtection="1">
      <alignment vertical="center"/>
      <protection locked="0"/>
    </xf>
    <xf numFmtId="0" fontId="9" fillId="0" borderId="11" xfId="6" applyFont="1" applyBorder="1" applyAlignment="1" applyProtection="1">
      <alignment vertical="center"/>
      <protection locked="0"/>
    </xf>
    <xf numFmtId="0" fontId="9" fillId="0" borderId="4" xfId="6" applyFont="1" applyBorder="1" applyAlignment="1" applyProtection="1">
      <alignment horizontal="center" vertical="center"/>
      <protection locked="0"/>
    </xf>
    <xf numFmtId="0" fontId="9" fillId="0" borderId="12" xfId="6" applyFont="1" applyBorder="1" applyAlignment="1" applyProtection="1">
      <alignment horizontal="center" vertical="center"/>
      <protection locked="0"/>
    </xf>
    <xf numFmtId="0" fontId="8" fillId="0" borderId="4" xfId="6" applyFont="1" applyBorder="1" applyAlignment="1" applyProtection="1">
      <alignment horizontal="center" vertical="center"/>
      <protection locked="0"/>
    </xf>
    <xf numFmtId="0" fontId="8" fillId="0" borderId="12" xfId="6" applyFont="1" applyBorder="1" applyAlignment="1" applyProtection="1">
      <alignment horizontal="center" vertical="center"/>
      <protection locked="0"/>
    </xf>
    <xf numFmtId="0" fontId="9" fillId="0" borderId="10" xfId="6" applyFont="1" applyBorder="1" applyAlignment="1" applyProtection="1">
      <alignment vertical="center"/>
      <protection locked="0"/>
    </xf>
    <xf numFmtId="0" fontId="13" fillId="0" borderId="17" xfId="6" applyFont="1" applyBorder="1" applyAlignment="1">
      <alignment vertical="center"/>
    </xf>
    <xf numFmtId="0" fontId="13" fillId="0" borderId="18" xfId="6" applyFont="1" applyBorder="1" applyAlignment="1" applyProtection="1">
      <alignment vertical="center"/>
      <protection locked="0"/>
    </xf>
    <xf numFmtId="0" fontId="13" fillId="0" borderId="17" xfId="6" applyFont="1" applyBorder="1" applyAlignment="1" applyProtection="1">
      <alignment vertical="center"/>
      <protection locked="0"/>
    </xf>
    <xf numFmtId="0" fontId="7" fillId="0" borderId="17" xfId="6" applyFont="1" applyBorder="1" applyAlignment="1" applyProtection="1">
      <alignment vertical="center"/>
      <protection locked="0"/>
    </xf>
    <xf numFmtId="0" fontId="7" fillId="0" borderId="4" xfId="6" applyFont="1" applyBorder="1" applyAlignment="1" applyProtection="1">
      <alignment vertical="center"/>
      <protection locked="0"/>
    </xf>
    <xf numFmtId="0" fontId="7" fillId="0" borderId="11" xfId="6" applyFont="1" applyBorder="1" applyAlignment="1" applyProtection="1">
      <alignment vertical="center"/>
      <protection locked="0"/>
    </xf>
    <xf numFmtId="0" fontId="7" fillId="0" borderId="12" xfId="6" applyFont="1" applyBorder="1" applyAlignment="1" applyProtection="1">
      <alignment vertical="center"/>
      <protection locked="0"/>
    </xf>
    <xf numFmtId="0" fontId="9" fillId="0" borderId="12" xfId="6" applyFont="1" applyBorder="1" applyAlignment="1" applyProtection="1">
      <alignment vertical="center"/>
      <protection locked="0"/>
    </xf>
    <xf numFmtId="0" fontId="9" fillId="0" borderId="20" xfId="6" applyFont="1" applyBorder="1" applyAlignment="1" applyProtection="1">
      <alignment vertical="center"/>
      <protection locked="0"/>
    </xf>
    <xf numFmtId="0" fontId="9" fillId="0" borderId="21" xfId="6" applyFont="1" applyBorder="1" applyAlignment="1" applyProtection="1">
      <alignment vertical="center"/>
      <protection locked="0"/>
    </xf>
    <xf numFmtId="0" fontId="9" fillId="0" borderId="22" xfId="6" applyFont="1" applyBorder="1" applyAlignment="1" applyProtection="1">
      <alignment vertical="center"/>
      <protection locked="0"/>
    </xf>
    <xf numFmtId="0" fontId="9" fillId="0" borderId="0" xfId="6" applyFont="1" applyAlignment="1" applyProtection="1">
      <alignment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0" xfId="6" applyFont="1" applyAlignment="1">
      <alignment vertical="center"/>
    </xf>
    <xf numFmtId="0" fontId="7" fillId="0" borderId="0" xfId="6" applyFont="1" applyAlignment="1" applyProtection="1">
      <alignment vertical="center"/>
      <protection locked="0"/>
    </xf>
    <xf numFmtId="0" fontId="13" fillId="0" borderId="0" xfId="6" applyFont="1" applyAlignment="1">
      <alignment vertical="center"/>
    </xf>
    <xf numFmtId="0" fontId="13" fillId="0" borderId="0" xfId="6" applyFont="1" applyAlignment="1" applyProtection="1">
      <alignment vertical="center"/>
      <protection locked="0"/>
    </xf>
    <xf numFmtId="0" fontId="18" fillId="0" borderId="2" xfId="0" applyFont="1" applyBorder="1" applyAlignment="1">
      <alignment vertical="center" wrapText="1"/>
    </xf>
    <xf numFmtId="0" fontId="18" fillId="0" borderId="2" xfId="0" applyFont="1" applyBorder="1" applyAlignment="1">
      <alignment horizontal="center" vertical="center" wrapText="1"/>
    </xf>
    <xf numFmtId="1" fontId="18" fillId="0" borderId="2" xfId="0" applyNumberFormat="1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1" fontId="19" fillId="0" borderId="2" xfId="0" applyNumberFormat="1" applyFont="1" applyBorder="1" applyAlignment="1">
      <alignment horizontal="center" vertical="center"/>
    </xf>
    <xf numFmtId="0" fontId="19" fillId="0" borderId="0" xfId="0" applyFont="1"/>
    <xf numFmtId="1" fontId="19" fillId="0" borderId="2" xfId="0" applyNumberFormat="1" applyFont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 wrapText="1"/>
    </xf>
    <xf numFmtId="0" fontId="19" fillId="0" borderId="2" xfId="0" applyFont="1" applyBorder="1" applyAlignment="1">
      <alignment horizontal="center" vertical="center"/>
    </xf>
    <xf numFmtId="1" fontId="19" fillId="0" borderId="2" xfId="0" quotePrefix="1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left" vertical="center"/>
    </xf>
    <xf numFmtId="0" fontId="19" fillId="0" borderId="0" xfId="0" applyFont="1" applyAlignment="1">
      <alignment wrapText="1"/>
    </xf>
    <xf numFmtId="1" fontId="19" fillId="0" borderId="1" xfId="0" applyNumberFormat="1" applyFont="1" applyBorder="1" applyAlignment="1">
      <alignment horizontal="center" vertical="center"/>
    </xf>
    <xf numFmtId="0" fontId="19" fillId="2" borderId="2" xfId="0" applyFont="1" applyFill="1" applyBorder="1" applyAlignment="1">
      <alignment horizontal="left" vertical="center" wrapText="1"/>
    </xf>
    <xf numFmtId="0" fontId="19" fillId="0" borderId="2" xfId="0" applyFont="1" applyBorder="1"/>
    <xf numFmtId="1" fontId="18" fillId="0" borderId="18" xfId="0" applyNumberFormat="1" applyFont="1" applyBorder="1" applyAlignment="1">
      <alignment horizontal="center" vertical="center" wrapText="1"/>
    </xf>
    <xf numFmtId="165" fontId="19" fillId="0" borderId="2" xfId="0" applyNumberFormat="1" applyFont="1" applyBorder="1" applyAlignment="1">
      <alignment horizontal="center" vertical="center" wrapText="1"/>
    </xf>
    <xf numFmtId="0" fontId="19" fillId="2" borderId="0" xfId="0" applyFont="1" applyFill="1" applyAlignment="1">
      <alignment horizontal="center" vertical="center"/>
    </xf>
    <xf numFmtId="0" fontId="19" fillId="0" borderId="0" xfId="0" applyFont="1" applyAlignment="1">
      <alignment vertical="top"/>
    </xf>
    <xf numFmtId="165" fontId="19" fillId="0" borderId="2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1" fontId="18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horizontal="left" vertical="center" wrapText="1"/>
    </xf>
    <xf numFmtId="1" fontId="18" fillId="5" borderId="2" xfId="0" applyNumberFormat="1" applyFont="1" applyFill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1" fontId="19" fillId="0" borderId="2" xfId="0" applyNumberFormat="1" applyFont="1" applyBorder="1" applyAlignment="1">
      <alignment horizontal="center" vertical="center"/>
    </xf>
    <xf numFmtId="1" fontId="19" fillId="0" borderId="2" xfId="0" applyNumberFormat="1" applyFont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 wrapText="1"/>
    </xf>
    <xf numFmtId="0" fontId="19" fillId="2" borderId="2" xfId="0" applyFont="1" applyFill="1" applyBorder="1" applyAlignment="1">
      <alignment vertical="center"/>
    </xf>
    <xf numFmtId="0" fontId="7" fillId="0" borderId="13" xfId="6" applyFont="1" applyBorder="1" applyAlignment="1">
      <alignment horizontal="center" textRotation="90" wrapText="1"/>
    </xf>
    <xf numFmtId="0" fontId="7" fillId="0" borderId="15" xfId="6" applyFont="1" applyBorder="1" applyAlignment="1">
      <alignment horizontal="center" textRotation="90" wrapText="1"/>
    </xf>
    <xf numFmtId="0" fontId="12" fillId="0" borderId="8" xfId="6" applyFont="1" applyBorder="1" applyAlignment="1">
      <alignment horizontal="left" vertical="center"/>
    </xf>
    <xf numFmtId="0" fontId="12" fillId="0" borderId="9" xfId="6" applyFont="1" applyBorder="1" applyAlignment="1">
      <alignment horizontal="left" vertical="center"/>
    </xf>
    <xf numFmtId="0" fontId="12" fillId="0" borderId="9" xfId="6" applyFont="1" applyBorder="1" applyAlignment="1" applyProtection="1">
      <alignment horizontal="left" vertical="center"/>
      <protection locked="0"/>
    </xf>
    <xf numFmtId="0" fontId="12" fillId="0" borderId="10" xfId="6" applyFont="1" applyBorder="1" applyAlignment="1" applyProtection="1">
      <alignment horizontal="left" vertical="center"/>
      <protection locked="0"/>
    </xf>
    <xf numFmtId="0" fontId="8" fillId="0" borderId="2" xfId="6" applyFont="1" applyBorder="1" applyAlignment="1">
      <alignment horizontal="center" vertical="center"/>
    </xf>
    <xf numFmtId="0" fontId="9" fillId="0" borderId="8" xfId="6" applyFont="1" applyBorder="1" applyAlignment="1" applyProtection="1">
      <alignment vertical="center"/>
      <protection locked="0"/>
    </xf>
    <xf numFmtId="0" fontId="9" fillId="0" borderId="9" xfId="6" applyFont="1" applyBorder="1" applyAlignment="1" applyProtection="1">
      <alignment vertical="center"/>
      <protection locked="0"/>
    </xf>
    <xf numFmtId="0" fontId="9" fillId="0" borderId="10" xfId="6" applyFont="1" applyBorder="1" applyAlignment="1" applyProtection="1">
      <alignment vertical="center"/>
      <protection locked="0"/>
    </xf>
    <xf numFmtId="0" fontId="9" fillId="0" borderId="17" xfId="6" applyFont="1" applyBorder="1" applyAlignment="1" applyProtection="1">
      <alignment vertical="center"/>
      <protection locked="0"/>
    </xf>
    <xf numFmtId="0" fontId="9" fillId="0" borderId="0" xfId="6" applyFont="1" applyAlignment="1" applyProtection="1">
      <alignment vertical="center"/>
      <protection locked="0"/>
    </xf>
    <xf numFmtId="0" fontId="9" fillId="0" borderId="18" xfId="6" applyFont="1" applyBorder="1" applyAlignment="1" applyProtection="1">
      <alignment vertical="center"/>
      <protection locked="0"/>
    </xf>
    <xf numFmtId="0" fontId="9" fillId="0" borderId="4" xfId="6" applyFont="1" applyBorder="1" applyAlignment="1" applyProtection="1">
      <alignment vertical="center"/>
      <protection locked="0"/>
    </xf>
    <xf numFmtId="0" fontId="9" fillId="0" borderId="11" xfId="6" applyFont="1" applyBorder="1" applyAlignment="1" applyProtection="1">
      <alignment vertical="center"/>
      <protection locked="0"/>
    </xf>
    <xf numFmtId="0" fontId="9" fillId="0" borderId="12" xfId="6" applyFont="1" applyBorder="1" applyAlignment="1" applyProtection="1">
      <alignment vertical="center"/>
      <protection locked="0"/>
    </xf>
    <xf numFmtId="0" fontId="9" fillId="0" borderId="2" xfId="6" quotePrefix="1" applyFont="1" applyBorder="1" applyAlignment="1" applyProtection="1">
      <alignment horizontal="left" vertical="center"/>
      <protection locked="0"/>
    </xf>
    <xf numFmtId="0" fontId="9" fillId="0" borderId="2" xfId="6" applyFont="1" applyBorder="1" applyAlignment="1" applyProtection="1">
      <alignment horizontal="left" vertical="center"/>
      <protection locked="0"/>
    </xf>
    <xf numFmtId="0" fontId="9" fillId="0" borderId="2" xfId="6" quotePrefix="1" applyFont="1" applyBorder="1" applyAlignment="1" applyProtection="1">
      <alignment horizontal="center" vertical="center"/>
      <protection locked="0"/>
    </xf>
    <xf numFmtId="0" fontId="9" fillId="0" borderId="2" xfId="6" applyFont="1" applyBorder="1" applyAlignment="1" applyProtection="1">
      <alignment horizontal="center" vertical="center"/>
      <protection locked="0"/>
    </xf>
    <xf numFmtId="15" fontId="9" fillId="0" borderId="2" xfId="6" applyNumberFormat="1" applyFont="1" applyBorder="1" applyAlignment="1" applyProtection="1">
      <alignment horizontal="center" vertical="center"/>
      <protection locked="0"/>
    </xf>
    <xf numFmtId="0" fontId="10" fillId="0" borderId="0" xfId="6" applyFont="1" applyAlignment="1">
      <alignment horizontal="left" vertical="center" wrapText="1"/>
    </xf>
    <xf numFmtId="0" fontId="9" fillId="0" borderId="9" xfId="6" applyFont="1" applyBorder="1" applyAlignment="1">
      <alignment horizontal="left" vertical="center"/>
    </xf>
    <xf numFmtId="0" fontId="12" fillId="0" borderId="17" xfId="6" quotePrefix="1" applyFont="1" applyBorder="1" applyAlignment="1" applyProtection="1">
      <alignment vertical="center" wrapText="1"/>
      <protection locked="0"/>
    </xf>
    <xf numFmtId="0" fontId="12" fillId="0" borderId="0" xfId="6" applyFont="1" applyAlignment="1">
      <alignment vertical="center"/>
    </xf>
    <xf numFmtId="0" fontId="12" fillId="0" borderId="18" xfId="6" applyFont="1" applyBorder="1" applyAlignment="1">
      <alignment vertical="center"/>
    </xf>
    <xf numFmtId="0" fontId="12" fillId="0" borderId="17" xfId="6" applyFont="1" applyBorder="1" applyAlignment="1">
      <alignment vertical="center"/>
    </xf>
    <xf numFmtId="0" fontId="12" fillId="0" borderId="4" xfId="6" applyFont="1" applyBorder="1" applyAlignment="1">
      <alignment vertical="center"/>
    </xf>
    <xf numFmtId="0" fontId="12" fillId="0" borderId="11" xfId="6" applyFont="1" applyBorder="1" applyAlignment="1">
      <alignment vertical="center"/>
    </xf>
    <xf numFmtId="0" fontId="12" fillId="0" borderId="12" xfId="6" applyFont="1" applyBorder="1" applyAlignment="1">
      <alignment vertical="center"/>
    </xf>
    <xf numFmtId="0" fontId="12" fillId="0" borderId="17" xfId="6" quotePrefix="1" applyFont="1" applyBorder="1" applyAlignment="1" applyProtection="1">
      <alignment horizontal="center" vertical="center" wrapText="1"/>
      <protection locked="0"/>
    </xf>
    <xf numFmtId="0" fontId="7" fillId="0" borderId="0" xfId="6" applyFont="1" applyAlignment="1">
      <alignment horizontal="center" vertical="center"/>
    </xf>
    <xf numFmtId="0" fontId="7" fillId="0" borderId="18" xfId="6" applyFont="1" applyBorder="1" applyAlignment="1">
      <alignment horizontal="center" vertical="center"/>
    </xf>
    <xf numFmtId="0" fontId="7" fillId="0" borderId="17" xfId="6" applyFont="1" applyBorder="1" applyAlignment="1">
      <alignment horizontal="center" vertical="center"/>
    </xf>
    <xf numFmtId="0" fontId="7" fillId="0" borderId="4" xfId="6" applyFont="1" applyBorder="1" applyAlignment="1">
      <alignment horizontal="center" vertical="center"/>
    </xf>
    <xf numFmtId="0" fontId="7" fillId="0" borderId="11" xfId="6" applyFont="1" applyBorder="1" applyAlignment="1">
      <alignment horizontal="center" vertical="center"/>
    </xf>
    <xf numFmtId="0" fontId="7" fillId="0" borderId="12" xfId="6" applyFont="1" applyBorder="1" applyAlignment="1">
      <alignment horizontal="center" vertical="center"/>
    </xf>
    <xf numFmtId="0" fontId="12" fillId="0" borderId="4" xfId="6" applyFont="1" applyBorder="1" applyAlignment="1" applyProtection="1">
      <alignment horizontal="left" vertical="center" wrapText="1"/>
      <protection locked="0"/>
    </xf>
    <xf numFmtId="0" fontId="12" fillId="0" borderId="11" xfId="6" applyFont="1" applyBorder="1" applyAlignment="1" applyProtection="1">
      <alignment horizontal="left" vertical="center" wrapText="1"/>
      <protection locked="0"/>
    </xf>
    <xf numFmtId="0" fontId="12" fillId="0" borderId="12" xfId="6" applyFont="1" applyBorder="1" applyAlignment="1" applyProtection="1">
      <alignment horizontal="left" vertical="center" wrapText="1"/>
      <protection locked="0"/>
    </xf>
    <xf numFmtId="0" fontId="8" fillId="0" borderId="5" xfId="6" applyFont="1" applyBorder="1" applyAlignment="1">
      <alignment horizontal="left" vertical="center"/>
    </xf>
    <xf numFmtId="0" fontId="8" fillId="0" borderId="6" xfId="6" applyFont="1" applyBorder="1" applyAlignment="1">
      <alignment horizontal="left" vertical="center"/>
    </xf>
    <xf numFmtId="0" fontId="8" fillId="0" borderId="7" xfId="6" applyFont="1" applyBorder="1" applyAlignment="1">
      <alignment horizontal="left" vertical="center"/>
    </xf>
    <xf numFmtId="0" fontId="9" fillId="0" borderId="8" xfId="6" applyFont="1" applyBorder="1" applyAlignment="1" applyProtection="1">
      <alignment horizontal="left" vertical="center"/>
      <protection locked="0"/>
    </xf>
    <xf numFmtId="0" fontId="9" fillId="0" borderId="9" xfId="6" applyFont="1" applyBorder="1" applyAlignment="1" applyProtection="1">
      <alignment horizontal="left" vertical="center"/>
      <protection locked="0"/>
    </xf>
    <xf numFmtId="0" fontId="9" fillId="0" borderId="10" xfId="6" applyFont="1" applyBorder="1" applyAlignment="1" applyProtection="1">
      <alignment horizontal="left" vertical="center"/>
      <protection locked="0"/>
    </xf>
    <xf numFmtId="0" fontId="13" fillId="0" borderId="5" xfId="6" applyFont="1" applyBorder="1" applyAlignment="1">
      <alignment horizontal="center" vertical="center"/>
    </xf>
    <xf numFmtId="0" fontId="13" fillId="0" borderId="6" xfId="6" applyFont="1" applyBorder="1" applyAlignment="1">
      <alignment horizontal="center" vertical="center"/>
    </xf>
    <xf numFmtId="0" fontId="9" fillId="0" borderId="5" xfId="6" applyFont="1" applyBorder="1" applyAlignment="1" applyProtection="1">
      <alignment horizontal="center" vertical="center"/>
      <protection locked="0"/>
    </xf>
    <xf numFmtId="0" fontId="9" fillId="0" borderId="7" xfId="6" applyFont="1" applyBorder="1" applyAlignment="1" applyProtection="1">
      <alignment horizontal="center" vertical="center"/>
      <protection locked="0"/>
    </xf>
    <xf numFmtId="0" fontId="7" fillId="0" borderId="2" xfId="6" applyFont="1" applyBorder="1" applyAlignment="1" applyProtection="1">
      <alignment horizontal="center" vertical="center"/>
      <protection locked="0"/>
    </xf>
    <xf numFmtId="0" fontId="16" fillId="0" borderId="2" xfId="6" quotePrefix="1" applyFont="1" applyBorder="1" applyAlignment="1" applyProtection="1">
      <alignment horizontal="center" vertical="center"/>
      <protection locked="0"/>
    </xf>
    <xf numFmtId="164" fontId="9" fillId="0" borderId="2" xfId="6" applyNumberFormat="1" applyFont="1" applyBorder="1" applyAlignment="1" applyProtection="1">
      <alignment horizontal="center" vertical="center"/>
      <protection locked="0"/>
    </xf>
    <xf numFmtId="0" fontId="16" fillId="0" borderId="2" xfId="6" applyFont="1" applyBorder="1" applyAlignment="1" applyProtection="1">
      <alignment horizontal="center" vertical="center"/>
      <protection locked="0"/>
    </xf>
    <xf numFmtId="0" fontId="8" fillId="0" borderId="8" xfId="6" applyFont="1" applyBorder="1" applyAlignment="1">
      <alignment horizontal="center" vertical="center"/>
    </xf>
    <xf numFmtId="0" fontId="8" fillId="0" borderId="10" xfId="6" applyFont="1" applyBorder="1" applyAlignment="1">
      <alignment horizontal="center" vertical="center"/>
    </xf>
    <xf numFmtId="0" fontId="8" fillId="0" borderId="9" xfId="6" applyFont="1" applyBorder="1" applyAlignment="1">
      <alignment horizontal="center" vertical="center"/>
    </xf>
    <xf numFmtId="0" fontId="10" fillId="0" borderId="8" xfId="6" applyFont="1" applyBorder="1" applyAlignment="1" applyProtection="1">
      <alignment horizontal="center" vertical="center" wrapText="1"/>
      <protection locked="0"/>
    </xf>
    <xf numFmtId="0" fontId="10" fillId="0" borderId="9" xfId="6" applyFont="1" applyBorder="1" applyAlignment="1" applyProtection="1">
      <alignment horizontal="center" vertical="center" wrapText="1"/>
      <protection locked="0"/>
    </xf>
    <xf numFmtId="0" fontId="10" fillId="0" borderId="10" xfId="6" applyFont="1" applyBorder="1" applyAlignment="1" applyProtection="1">
      <alignment horizontal="center" vertical="center" wrapText="1"/>
      <protection locked="0"/>
    </xf>
    <xf numFmtId="0" fontId="10" fillId="0" borderId="17" xfId="6" applyFont="1" applyBorder="1" applyAlignment="1" applyProtection="1">
      <alignment horizontal="center" vertical="center" wrapText="1"/>
      <protection locked="0"/>
    </xf>
    <xf numFmtId="0" fontId="10" fillId="0" borderId="0" xfId="6" applyFont="1" applyAlignment="1" applyProtection="1">
      <alignment horizontal="center" vertical="center" wrapText="1"/>
      <protection locked="0"/>
    </xf>
    <xf numFmtId="0" fontId="10" fillId="0" borderId="18" xfId="6" applyFont="1" applyBorder="1" applyAlignment="1" applyProtection="1">
      <alignment horizontal="center" vertical="center" wrapText="1"/>
      <protection locked="0"/>
    </xf>
    <xf numFmtId="0" fontId="10" fillId="0" borderId="4" xfId="6" applyFont="1" applyBorder="1" applyAlignment="1" applyProtection="1">
      <alignment horizontal="center" vertical="center" wrapText="1"/>
      <protection locked="0"/>
    </xf>
    <xf numFmtId="0" fontId="10" fillId="0" borderId="11" xfId="6" applyFont="1" applyBorder="1" applyAlignment="1" applyProtection="1">
      <alignment horizontal="center" vertical="center" wrapText="1"/>
      <protection locked="0"/>
    </xf>
    <xf numFmtId="0" fontId="10" fillId="0" borderId="12" xfId="6" applyFont="1" applyBorder="1" applyAlignment="1" applyProtection="1">
      <alignment horizontal="center" vertical="center" wrapText="1"/>
      <protection locked="0"/>
    </xf>
    <xf numFmtId="15" fontId="18" fillId="0" borderId="2" xfId="0" applyNumberFormat="1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/>
    </xf>
    <xf numFmtId="1" fontId="19" fillId="0" borderId="3" xfId="0" applyNumberFormat="1" applyFont="1" applyBorder="1" applyAlignment="1">
      <alignment horizontal="center" vertical="center" wrapText="1"/>
    </xf>
    <xf numFmtId="1" fontId="19" fillId="0" borderId="24" xfId="0" applyNumberFormat="1" applyFont="1" applyBorder="1" applyAlignment="1">
      <alignment horizontal="center" vertical="center" wrapText="1"/>
    </xf>
    <xf numFmtId="1" fontId="19" fillId="0" borderId="1" xfId="0" applyNumberFormat="1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5" fontId="18" fillId="0" borderId="5" xfId="0" applyNumberFormat="1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/>
    </xf>
    <xf numFmtId="1" fontId="19" fillId="0" borderId="24" xfId="0" applyNumberFormat="1" applyFont="1" applyBorder="1" applyAlignment="1">
      <alignment horizontal="center" vertical="center"/>
    </xf>
    <xf numFmtId="1" fontId="19" fillId="0" borderId="1" xfId="0" applyNumberFormat="1" applyFont="1" applyBorder="1" applyAlignment="1">
      <alignment horizontal="center" vertical="center"/>
    </xf>
    <xf numFmtId="0" fontId="19" fillId="0" borderId="0" xfId="0" applyFont="1"/>
    <xf numFmtId="0" fontId="19" fillId="0" borderId="3" xfId="0" applyFont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1" fontId="18" fillId="5" borderId="2" xfId="0" applyNumberFormat="1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15" fontId="18" fillId="0" borderId="7" xfId="0" applyNumberFormat="1" applyFont="1" applyBorder="1" applyAlignment="1">
      <alignment horizontal="center" vertical="center" wrapText="1"/>
    </xf>
    <xf numFmtId="0" fontId="18" fillId="0" borderId="5" xfId="0" applyFont="1" applyBorder="1" applyAlignment="1">
      <alignment horizontal="left" vertical="center" wrapText="1"/>
    </xf>
    <xf numFmtId="0" fontId="18" fillId="0" borderId="6" xfId="0" applyFont="1" applyBorder="1" applyAlignment="1">
      <alignment horizontal="left" vertical="center" wrapText="1"/>
    </xf>
    <xf numFmtId="0" fontId="18" fillId="0" borderId="7" xfId="0" applyFont="1" applyBorder="1" applyAlignment="1">
      <alignment horizontal="left" vertical="center" wrapText="1"/>
    </xf>
  </cellXfs>
  <cellStyles count="7">
    <cellStyle name="Normal" xfId="0" builtinId="0"/>
    <cellStyle name="Normal 2" xfId="1" xr:uid="{00000000-0005-0000-0000-000001000000}"/>
    <cellStyle name="Normal 2 2" xfId="2" xr:uid="{00000000-0005-0000-0000-000002000000}"/>
    <cellStyle name="Normal 3" xfId="3" xr:uid="{00000000-0005-0000-0000-000003000000}"/>
    <cellStyle name="Normal 3 2" xfId="6" xr:uid="{00000000-0005-0000-0000-000004000000}"/>
    <cellStyle name="Normal 4" xfId="4" xr:uid="{00000000-0005-0000-0000-000005000000}"/>
    <cellStyle name="Normal 5" xfId="5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61847</xdr:colOff>
      <xdr:row>47</xdr:row>
      <xdr:rowOff>64944</xdr:rowOff>
    </xdr:from>
    <xdr:to>
      <xdr:col>6</xdr:col>
      <xdr:colOff>398157</xdr:colOff>
      <xdr:row>48</xdr:row>
      <xdr:rowOff>363971</xdr:rowOff>
    </xdr:to>
    <xdr:pic>
      <xdr:nvPicPr>
        <xdr:cNvPr id="2" name="Picture 1" descr="LnTSYMB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22" y="9704244"/>
          <a:ext cx="583960" cy="6038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209550</xdr:colOff>
      <xdr:row>78</xdr:row>
      <xdr:rowOff>152400</xdr:rowOff>
    </xdr:from>
    <xdr:to>
      <xdr:col>6</xdr:col>
      <xdr:colOff>219075</xdr:colOff>
      <xdr:row>79</xdr:row>
      <xdr:rowOff>133350</xdr:rowOff>
    </xdr:to>
    <xdr:pic>
      <xdr:nvPicPr>
        <xdr:cNvPr id="3" name="Picture 9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6983075"/>
          <a:ext cx="2571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95250</xdr:colOff>
      <xdr:row>81</xdr:row>
      <xdr:rowOff>0</xdr:rowOff>
    </xdr:from>
    <xdr:to>
      <xdr:col>10</xdr:col>
      <xdr:colOff>266700</xdr:colOff>
      <xdr:row>81</xdr:row>
      <xdr:rowOff>171450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17430750"/>
          <a:ext cx="361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9525</xdr:colOff>
      <xdr:row>84</xdr:row>
      <xdr:rowOff>9525</xdr:rowOff>
    </xdr:from>
    <xdr:to>
      <xdr:col>3</xdr:col>
      <xdr:colOff>238125</xdr:colOff>
      <xdr:row>84</xdr:row>
      <xdr:rowOff>190500</xdr:rowOff>
    </xdr:to>
    <xdr:pic>
      <xdr:nvPicPr>
        <xdr:cNvPr id="5" name="Picture 9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18040350"/>
          <a:ext cx="228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76040</xdr:colOff>
      <xdr:row>61</xdr:row>
      <xdr:rowOff>38787</xdr:rowOff>
    </xdr:from>
    <xdr:to>
      <xdr:col>6</xdr:col>
      <xdr:colOff>403910</xdr:colOff>
      <xdr:row>61</xdr:row>
      <xdr:rowOff>220116</xdr:rowOff>
    </xdr:to>
    <xdr:pic>
      <xdr:nvPicPr>
        <xdr:cNvPr id="7" name="Pictur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315" y="13602387"/>
          <a:ext cx="575520" cy="1813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40021</xdr:colOff>
      <xdr:row>62</xdr:row>
      <xdr:rowOff>59611</xdr:rowOff>
    </xdr:from>
    <xdr:to>
      <xdr:col>6</xdr:col>
      <xdr:colOff>475891</xdr:colOff>
      <xdr:row>62</xdr:row>
      <xdr:rowOff>224118</xdr:rowOff>
    </xdr:to>
    <xdr:pic>
      <xdr:nvPicPr>
        <xdr:cNvPr id="8" name="Picture 1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9296" y="13908961"/>
          <a:ext cx="683520" cy="1645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95650</xdr:colOff>
      <xdr:row>44</xdr:row>
      <xdr:rowOff>45692</xdr:rowOff>
    </xdr:from>
    <xdr:to>
      <xdr:col>28</xdr:col>
      <xdr:colOff>396347</xdr:colOff>
      <xdr:row>44</xdr:row>
      <xdr:rowOff>219845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6275" y="8813022"/>
          <a:ext cx="549646" cy="1741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54745</xdr:colOff>
      <xdr:row>44</xdr:row>
      <xdr:rowOff>60730</xdr:rowOff>
    </xdr:from>
    <xdr:to>
      <xdr:col>30</xdr:col>
      <xdr:colOff>456753</xdr:colOff>
      <xdr:row>44</xdr:row>
      <xdr:rowOff>219130</xdr:rowOff>
    </xdr:to>
    <xdr:pic>
      <xdr:nvPicPr>
        <xdr:cNvPr id="10" name="Picture 10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79745" y="8828060"/>
          <a:ext cx="661781" cy="158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106681</xdr:colOff>
      <xdr:row>59</xdr:row>
      <xdr:rowOff>170688</xdr:rowOff>
    </xdr:from>
    <xdr:to>
      <xdr:col>6</xdr:col>
      <xdr:colOff>455024</xdr:colOff>
      <xdr:row>61</xdr:row>
      <xdr:rowOff>12014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C479F7B-A112-41EE-C2A6-A910F2356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297" y="12993624"/>
          <a:ext cx="607423" cy="329006"/>
        </a:xfrm>
        <a:prstGeom prst="rect">
          <a:avLst/>
        </a:prstGeom>
      </xdr:spPr>
    </xdr:pic>
    <xdr:clientData/>
  </xdr:twoCellAnchor>
  <xdr:twoCellAnchor editAs="oneCell">
    <xdr:from>
      <xdr:col>25</xdr:col>
      <xdr:colOff>128588</xdr:colOff>
      <xdr:row>43</xdr:row>
      <xdr:rowOff>157163</xdr:rowOff>
    </xdr:from>
    <xdr:to>
      <xdr:col>26</xdr:col>
      <xdr:colOff>282170</xdr:colOff>
      <xdr:row>45</xdr:row>
      <xdr:rowOff>23812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1F85E1C-9AC1-4B46-96B6-67D2DE774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72476" y="8758238"/>
          <a:ext cx="582207" cy="319087"/>
        </a:xfrm>
        <a:prstGeom prst="rect">
          <a:avLst/>
        </a:prstGeom>
      </xdr:spPr>
    </xdr:pic>
    <xdr:clientData/>
  </xdr:twoCellAnchor>
  <xdr:twoCellAnchor editAs="oneCell">
    <xdr:from>
      <xdr:col>20</xdr:col>
      <xdr:colOff>293915</xdr:colOff>
      <xdr:row>50</xdr:row>
      <xdr:rowOff>54428</xdr:rowOff>
    </xdr:from>
    <xdr:to>
      <xdr:col>27</xdr:col>
      <xdr:colOff>107950</xdr:colOff>
      <xdr:row>52</xdr:row>
      <xdr:rowOff>71074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663801B-EE5D-47DB-A251-B73E7E219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8886" y="10254342"/>
          <a:ext cx="2361293" cy="4085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411750</xdr:colOff>
      <xdr:row>1</xdr:row>
      <xdr:rowOff>171414</xdr:rowOff>
    </xdr:from>
    <xdr:to>
      <xdr:col>2</xdr:col>
      <xdr:colOff>398652</xdr:colOff>
      <xdr:row>1</xdr:row>
      <xdr:rowOff>968188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09" y="341743"/>
          <a:ext cx="874408" cy="796774"/>
        </a:xfrm>
        <a:prstGeom prst="rect">
          <a:avLst/>
        </a:prstGeom>
      </xdr:spPr>
    </xdr:pic>
    <xdr:clientData/>
  </xdr:twoCellAnchor>
  <xdr:twoCellAnchor editAs="oneCell">
    <xdr:from>
      <xdr:col>3</xdr:col>
      <xdr:colOff>365760</xdr:colOff>
      <xdr:row>3</xdr:row>
      <xdr:rowOff>60960</xdr:rowOff>
    </xdr:from>
    <xdr:to>
      <xdr:col>5</xdr:col>
      <xdr:colOff>1164376</xdr:colOff>
      <xdr:row>3</xdr:row>
      <xdr:rowOff>742950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2C57E0-CBF1-4ED7-9D3D-0175F1FCD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6160" y="2137410"/>
          <a:ext cx="3941866" cy="6819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800100</xdr:colOff>
      <xdr:row>3</xdr:row>
      <xdr:rowOff>57150</xdr:rowOff>
    </xdr:from>
    <xdr:to>
      <xdr:col>5</xdr:col>
      <xdr:colOff>782537</xdr:colOff>
      <xdr:row>3</xdr:row>
      <xdr:rowOff>742950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4464CF5-0AAB-4F36-AFF7-5C9CF813D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8100" y="2133600"/>
          <a:ext cx="396388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476250</xdr:colOff>
      <xdr:row>1</xdr:row>
      <xdr:rowOff>152400</xdr:rowOff>
    </xdr:from>
    <xdr:to>
      <xdr:col>2</xdr:col>
      <xdr:colOff>321958</xdr:colOff>
      <xdr:row>1</xdr:row>
      <xdr:rowOff>949174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B5C36B6-239E-45E8-AB07-465FB43B3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23850"/>
          <a:ext cx="874408" cy="7967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133350</xdr:colOff>
      <xdr:row>3</xdr:row>
      <xdr:rowOff>57150</xdr:rowOff>
    </xdr:from>
    <xdr:to>
      <xdr:col>4</xdr:col>
      <xdr:colOff>862929</xdr:colOff>
      <xdr:row>3</xdr:row>
      <xdr:rowOff>723900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1F9311-6AB9-4C5A-87BF-DA1C5E18E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0" y="2266950"/>
          <a:ext cx="3853779" cy="666750"/>
        </a:xfrm>
        <a:prstGeom prst="rect">
          <a:avLst/>
        </a:prstGeom>
      </xdr:spPr>
    </xdr:pic>
    <xdr:clientData/>
  </xdr:twoCellAnchor>
  <xdr:twoCellAnchor editAs="oneCell">
    <xdr:from>
      <xdr:col>1</xdr:col>
      <xdr:colOff>514350</xdr:colOff>
      <xdr:row>1</xdr:row>
      <xdr:rowOff>152400</xdr:rowOff>
    </xdr:from>
    <xdr:to>
      <xdr:col>2</xdr:col>
      <xdr:colOff>360058</xdr:colOff>
      <xdr:row>1</xdr:row>
      <xdr:rowOff>949174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98B9AE5-1431-42B9-A49B-39934E7B6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457200"/>
          <a:ext cx="874408" cy="79677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2019300</xdr:colOff>
      <xdr:row>3</xdr:row>
      <xdr:rowOff>38100</xdr:rowOff>
    </xdr:from>
    <xdr:to>
      <xdr:col>4</xdr:col>
      <xdr:colOff>111595</xdr:colOff>
      <xdr:row>3</xdr:row>
      <xdr:rowOff>742950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DDF0565-FCA7-4274-AA28-04E6EA459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6100" y="2133600"/>
          <a:ext cx="4073995" cy="704850"/>
        </a:xfrm>
        <a:prstGeom prst="rect">
          <a:avLst/>
        </a:prstGeom>
      </xdr:spPr>
    </xdr:pic>
    <xdr:clientData/>
  </xdr:twoCellAnchor>
  <xdr:twoCellAnchor editAs="oneCell">
    <xdr:from>
      <xdr:col>1</xdr:col>
      <xdr:colOff>723900</xdr:colOff>
      <xdr:row>1</xdr:row>
      <xdr:rowOff>190500</xdr:rowOff>
    </xdr:from>
    <xdr:to>
      <xdr:col>2</xdr:col>
      <xdr:colOff>722008</xdr:colOff>
      <xdr:row>1</xdr:row>
      <xdr:rowOff>987274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601AA18-4762-4201-B8D1-7767539B6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" y="381000"/>
          <a:ext cx="874408" cy="7967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2114550</xdr:colOff>
      <xdr:row>3</xdr:row>
      <xdr:rowOff>76200</xdr:rowOff>
    </xdr:from>
    <xdr:to>
      <xdr:col>4</xdr:col>
      <xdr:colOff>456405</xdr:colOff>
      <xdr:row>3</xdr:row>
      <xdr:rowOff>685800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2DB608-B833-48D2-877C-3738A3EC6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0" y="2171700"/>
          <a:ext cx="3523455" cy="609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514350</xdr:colOff>
      <xdr:row>1</xdr:row>
      <xdr:rowOff>152400</xdr:rowOff>
    </xdr:from>
    <xdr:to>
      <xdr:col>2</xdr:col>
      <xdr:colOff>512458</xdr:colOff>
      <xdr:row>1</xdr:row>
      <xdr:rowOff>949174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A56C3D-3D7B-4AD0-A6D4-24607EDA9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342900"/>
          <a:ext cx="874408" cy="79677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1815192</xdr:colOff>
      <xdr:row>3</xdr:row>
      <xdr:rowOff>65314</xdr:rowOff>
    </xdr:from>
    <xdr:to>
      <xdr:col>4</xdr:col>
      <xdr:colOff>284148</xdr:colOff>
      <xdr:row>3</xdr:row>
      <xdr:rowOff>675232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1365F4D-B4EE-40D9-8740-39A6F33AC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2878" y="2166257"/>
          <a:ext cx="3509041" cy="609918"/>
        </a:xfrm>
        <a:prstGeom prst="rect">
          <a:avLst/>
        </a:prstGeom>
      </xdr:spPr>
    </xdr:pic>
    <xdr:clientData/>
  </xdr:twoCellAnchor>
  <xdr:twoCellAnchor editAs="oneCell">
    <xdr:from>
      <xdr:col>1</xdr:col>
      <xdr:colOff>590550</xdr:colOff>
      <xdr:row>1</xdr:row>
      <xdr:rowOff>190500</xdr:rowOff>
    </xdr:from>
    <xdr:to>
      <xdr:col>2</xdr:col>
      <xdr:colOff>588658</xdr:colOff>
      <xdr:row>1</xdr:row>
      <xdr:rowOff>987274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57882C8-4242-4A1B-8879-0D7792D9B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381000"/>
          <a:ext cx="874408" cy="79677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800100</xdr:colOff>
      <xdr:row>3</xdr:row>
      <xdr:rowOff>57150</xdr:rowOff>
    </xdr:from>
    <xdr:to>
      <xdr:col>5</xdr:col>
      <xdr:colOff>782537</xdr:colOff>
      <xdr:row>3</xdr:row>
      <xdr:rowOff>742950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F4242A5-1562-451D-89DF-FCE19092F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2860" y="2129790"/>
          <a:ext cx="39600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628650</xdr:colOff>
      <xdr:row>1</xdr:row>
      <xdr:rowOff>152400</xdr:rowOff>
    </xdr:from>
    <xdr:to>
      <xdr:col>2</xdr:col>
      <xdr:colOff>474358</xdr:colOff>
      <xdr:row>1</xdr:row>
      <xdr:rowOff>949174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5CD449D-0EE8-4B3F-97BE-CA433700E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323850"/>
          <a:ext cx="874408" cy="79677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171450</xdr:colOff>
      <xdr:row>3</xdr:row>
      <xdr:rowOff>57150</xdr:rowOff>
    </xdr:from>
    <xdr:to>
      <xdr:col>4</xdr:col>
      <xdr:colOff>1373087</xdr:colOff>
      <xdr:row>3</xdr:row>
      <xdr:rowOff>742950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4992990-E746-40C1-94EB-66C32AE0D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8950" y="2133600"/>
          <a:ext cx="396388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438150</xdr:colOff>
      <xdr:row>1</xdr:row>
      <xdr:rowOff>152400</xdr:rowOff>
    </xdr:from>
    <xdr:to>
      <xdr:col>2</xdr:col>
      <xdr:colOff>360058</xdr:colOff>
      <xdr:row>1</xdr:row>
      <xdr:rowOff>949174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BE89FC2-2B5E-4A03-9ED7-B63B3C416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" y="323850"/>
          <a:ext cx="874408" cy="796774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L74"/>
  <sheetViews>
    <sheetView showGridLines="0" tabSelected="1" view="pageBreakPreview" topLeftCell="A49" zoomScale="70" zoomScaleNormal="75" zoomScaleSheetLayoutView="70" workbookViewId="0">
      <selection activeCell="J60" sqref="J60:AE63"/>
    </sheetView>
  </sheetViews>
  <sheetFormatPr defaultColWidth="3.77734375" defaultRowHeight="16.05" customHeight="1" x14ac:dyDescent="0.25"/>
  <cols>
    <col min="1" max="1" width="6.5546875" style="13" customWidth="1"/>
    <col min="2" max="2" width="3.77734375" style="13" customWidth="1"/>
    <col min="3" max="3" width="5" style="13" customWidth="1"/>
    <col min="4" max="4" width="4.77734375" style="13" customWidth="1"/>
    <col min="5" max="5" width="7.21875" style="13" customWidth="1"/>
    <col min="6" max="6" width="3.77734375" style="13" customWidth="1"/>
    <col min="7" max="7" width="7.21875" style="13" customWidth="1"/>
    <col min="8" max="8" width="5.44140625" style="13" customWidth="1"/>
    <col min="9" max="9" width="5.21875" style="13" customWidth="1"/>
    <col min="10" max="10" width="2.77734375" style="13" customWidth="1"/>
    <col min="11" max="11" width="5.77734375" style="13" customWidth="1"/>
    <col min="12" max="12" width="3.77734375" style="13" customWidth="1"/>
    <col min="13" max="13" width="4.21875" style="13" customWidth="1"/>
    <col min="14" max="15" width="3.77734375" style="13" customWidth="1"/>
    <col min="16" max="16" width="6.21875" style="13" customWidth="1"/>
    <col min="17" max="17" width="4.77734375" style="13" customWidth="1"/>
    <col min="18" max="20" width="3.77734375" style="13" customWidth="1"/>
    <col min="21" max="21" width="8.5546875" style="13" customWidth="1"/>
    <col min="22" max="24" width="3.77734375" style="13" customWidth="1"/>
    <col min="25" max="25" width="5.21875" style="13" customWidth="1"/>
    <col min="26" max="26" width="6.21875" style="13" customWidth="1"/>
    <col min="27" max="27" width="5.77734375" style="13" customWidth="1"/>
    <col min="28" max="28" width="3.77734375" style="13" customWidth="1"/>
    <col min="29" max="29" width="7" style="13" customWidth="1"/>
    <col min="30" max="30" width="3.77734375" style="13" customWidth="1"/>
    <col min="31" max="31" width="7.77734375" style="13" customWidth="1"/>
    <col min="32" max="16384" width="3.77734375" style="13"/>
  </cols>
  <sheetData>
    <row r="1" spans="1:32" ht="16.05" customHeight="1" x14ac:dyDescent="0.25">
      <c r="A1" s="92" t="s">
        <v>101</v>
      </c>
      <c r="B1" s="10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2"/>
    </row>
    <row r="2" spans="1:32" ht="16.05" customHeight="1" x14ac:dyDescent="0.25">
      <c r="A2" s="93"/>
      <c r="B2" s="99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1"/>
      <c r="AF2" s="16"/>
    </row>
    <row r="3" spans="1:32" ht="16.05" customHeight="1" x14ac:dyDescent="0.25">
      <c r="A3" s="93"/>
      <c r="B3" s="102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4"/>
      <c r="AF3" s="16"/>
    </row>
    <row r="4" spans="1:32" ht="16.05" customHeight="1" x14ac:dyDescent="0.25">
      <c r="A4" s="93"/>
      <c r="B4" s="102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4"/>
      <c r="AF4" s="16"/>
    </row>
    <row r="5" spans="1:32" ht="16.05" customHeight="1" x14ac:dyDescent="0.25">
      <c r="A5" s="93"/>
      <c r="B5" s="102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4"/>
      <c r="AF5" s="16"/>
    </row>
    <row r="6" spans="1:32" ht="16.05" customHeight="1" x14ac:dyDescent="0.25">
      <c r="A6" s="93"/>
      <c r="B6" s="102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4"/>
      <c r="AF6" s="16"/>
    </row>
    <row r="7" spans="1:32" ht="16.05" customHeight="1" x14ac:dyDescent="0.25">
      <c r="A7" s="93"/>
      <c r="B7" s="102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4"/>
      <c r="AF7" s="16"/>
    </row>
    <row r="8" spans="1:32" ht="16.05" customHeight="1" x14ac:dyDescent="0.25">
      <c r="A8" s="93"/>
      <c r="B8" s="102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4"/>
      <c r="AF8" s="16"/>
    </row>
    <row r="9" spans="1:32" ht="16.05" customHeight="1" x14ac:dyDescent="0.25">
      <c r="A9" s="93"/>
      <c r="B9" s="102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4"/>
      <c r="AF9" s="16"/>
    </row>
    <row r="10" spans="1:32" ht="16.05" customHeight="1" x14ac:dyDescent="0.25">
      <c r="A10" s="93"/>
      <c r="B10" s="102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4"/>
      <c r="AF10" s="16"/>
    </row>
    <row r="11" spans="1:32" ht="16.05" customHeight="1" x14ac:dyDescent="0.25">
      <c r="A11" s="93"/>
      <c r="B11" s="102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4"/>
      <c r="AF11" s="16"/>
    </row>
    <row r="12" spans="1:32" ht="16.05" customHeight="1" x14ac:dyDescent="0.25">
      <c r="A12" s="93"/>
      <c r="B12" s="102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  <c r="AE12" s="104"/>
      <c r="AF12" s="16"/>
    </row>
    <row r="13" spans="1:32" ht="16.05" customHeight="1" x14ac:dyDescent="0.25">
      <c r="A13" s="93"/>
      <c r="B13" s="102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  <c r="AD13" s="103"/>
      <c r="AE13" s="104"/>
      <c r="AF13" s="16"/>
    </row>
    <row r="14" spans="1:32" ht="16.05" customHeight="1" x14ac:dyDescent="0.25">
      <c r="A14" s="93"/>
      <c r="B14" s="102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4"/>
      <c r="AF14" s="16"/>
    </row>
    <row r="15" spans="1:32" ht="16.05" customHeight="1" x14ac:dyDescent="0.25">
      <c r="A15" s="93"/>
      <c r="B15" s="102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4"/>
      <c r="AF15" s="16"/>
    </row>
    <row r="16" spans="1:32" ht="16.05" customHeight="1" x14ac:dyDescent="0.25">
      <c r="A16" s="93"/>
      <c r="B16" s="102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  <c r="S16" s="103"/>
      <c r="T16" s="103"/>
      <c r="U16" s="103"/>
      <c r="V16" s="103"/>
      <c r="W16" s="103"/>
      <c r="X16" s="103"/>
      <c r="Y16" s="103"/>
      <c r="Z16" s="103"/>
      <c r="AA16" s="103"/>
      <c r="AB16" s="103"/>
      <c r="AC16" s="103"/>
      <c r="AD16" s="103"/>
      <c r="AE16" s="104"/>
      <c r="AF16" s="16"/>
    </row>
    <row r="17" spans="1:32" ht="16.05" customHeight="1" x14ac:dyDescent="0.25">
      <c r="A17" s="93"/>
      <c r="B17" s="102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4"/>
      <c r="AF17" s="16"/>
    </row>
    <row r="18" spans="1:32" ht="16.05" customHeight="1" x14ac:dyDescent="0.25">
      <c r="A18" s="93"/>
      <c r="B18" s="102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4"/>
      <c r="AF18" s="16"/>
    </row>
    <row r="19" spans="1:32" ht="16.05" customHeight="1" x14ac:dyDescent="0.25">
      <c r="A19" s="93"/>
      <c r="B19" s="102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4"/>
      <c r="AF19" s="16"/>
    </row>
    <row r="20" spans="1:32" ht="16.05" customHeight="1" x14ac:dyDescent="0.25">
      <c r="A20" s="93"/>
      <c r="B20" s="102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103"/>
      <c r="Y20" s="103"/>
      <c r="Z20" s="103"/>
      <c r="AA20" s="103"/>
      <c r="AB20" s="103"/>
      <c r="AC20" s="103"/>
      <c r="AD20" s="103"/>
      <c r="AE20" s="104"/>
      <c r="AF20" s="16"/>
    </row>
    <row r="21" spans="1:32" ht="16.05" customHeight="1" x14ac:dyDescent="0.25">
      <c r="A21" s="93"/>
      <c r="B21" s="102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4"/>
      <c r="AF21" s="16"/>
    </row>
    <row r="22" spans="1:32" ht="16.05" customHeight="1" x14ac:dyDescent="0.25">
      <c r="A22" s="93"/>
      <c r="B22" s="102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4"/>
      <c r="AF22" s="16"/>
    </row>
    <row r="23" spans="1:32" ht="16.05" customHeight="1" x14ac:dyDescent="0.25">
      <c r="A23" s="93"/>
      <c r="B23" s="102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4"/>
      <c r="AF23" s="16"/>
    </row>
    <row r="24" spans="1:32" ht="16.05" customHeight="1" x14ac:dyDescent="0.25">
      <c r="A24" s="93"/>
      <c r="B24" s="102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4"/>
      <c r="AF24" s="16"/>
    </row>
    <row r="25" spans="1:32" ht="16.05" customHeight="1" x14ac:dyDescent="0.25">
      <c r="A25" s="93"/>
      <c r="B25" s="102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4"/>
      <c r="AF25" s="16"/>
    </row>
    <row r="26" spans="1:32" ht="16.05" customHeight="1" x14ac:dyDescent="0.25">
      <c r="A26" s="93"/>
      <c r="B26" s="102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4"/>
      <c r="AF26" s="16"/>
    </row>
    <row r="27" spans="1:32" ht="16.05" customHeight="1" x14ac:dyDescent="0.25">
      <c r="A27" s="93"/>
      <c r="B27" s="102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4"/>
      <c r="AF27" s="16"/>
    </row>
    <row r="28" spans="1:32" ht="16.05" customHeight="1" x14ac:dyDescent="0.25">
      <c r="A28" s="93"/>
      <c r="B28" s="102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4"/>
      <c r="AF28" s="16"/>
    </row>
    <row r="29" spans="1:32" ht="16.05" customHeight="1" x14ac:dyDescent="0.25">
      <c r="A29" s="93"/>
      <c r="B29" s="102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4"/>
      <c r="AF29" s="16"/>
    </row>
    <row r="30" spans="1:32" ht="16.05" customHeight="1" x14ac:dyDescent="0.25">
      <c r="A30" s="93"/>
      <c r="B30" s="102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4"/>
      <c r="AF30" s="16"/>
    </row>
    <row r="31" spans="1:32" ht="16.05" customHeight="1" x14ac:dyDescent="0.25">
      <c r="A31" s="93"/>
      <c r="B31" s="102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4"/>
      <c r="AF31" s="16"/>
    </row>
    <row r="32" spans="1:32" ht="16.05" customHeight="1" x14ac:dyDescent="0.25">
      <c r="A32" s="93"/>
      <c r="B32" s="102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4"/>
      <c r="AF32" s="16"/>
    </row>
    <row r="33" spans="1:32" ht="15.75" customHeight="1" x14ac:dyDescent="0.25">
      <c r="A33" s="93"/>
      <c r="B33" s="102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4"/>
      <c r="AF33" s="16"/>
    </row>
    <row r="34" spans="1:32" ht="16.05" customHeight="1" x14ac:dyDescent="0.25">
      <c r="A34" s="93"/>
      <c r="B34" s="102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4"/>
      <c r="AF34" s="16"/>
    </row>
    <row r="35" spans="1:32" ht="16.05" customHeight="1" x14ac:dyDescent="0.25">
      <c r="A35" s="93"/>
      <c r="B35" s="102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4"/>
      <c r="AF35" s="16"/>
    </row>
    <row r="36" spans="1:32" ht="16.05" customHeight="1" x14ac:dyDescent="0.25">
      <c r="A36" s="93"/>
      <c r="B36" s="102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4"/>
      <c r="AF36" s="16"/>
    </row>
    <row r="37" spans="1:32" ht="16.05" customHeight="1" x14ac:dyDescent="0.25">
      <c r="A37" s="93"/>
      <c r="B37" s="102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/>
      <c r="AD37" s="103"/>
      <c r="AE37" s="104"/>
      <c r="AF37" s="16"/>
    </row>
    <row r="38" spans="1:32" ht="16.05" customHeight="1" x14ac:dyDescent="0.25">
      <c r="A38" s="93"/>
      <c r="B38" s="102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4"/>
      <c r="AF38" s="16"/>
    </row>
    <row r="39" spans="1:32" ht="16.05" customHeight="1" x14ac:dyDescent="0.25">
      <c r="A39" s="93"/>
      <c r="B39" s="102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  <c r="AC39" s="103"/>
      <c r="AD39" s="103"/>
      <c r="AE39" s="104"/>
      <c r="AF39" s="16"/>
    </row>
    <row r="40" spans="1:32" ht="16.05" customHeight="1" x14ac:dyDescent="0.25">
      <c r="A40" s="93"/>
      <c r="B40" s="102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4"/>
      <c r="AF40" s="16"/>
    </row>
    <row r="41" spans="1:32" ht="16.05" customHeight="1" x14ac:dyDescent="0.25">
      <c r="A41" s="93"/>
      <c r="B41" s="102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3"/>
      <c r="AE41" s="104"/>
      <c r="AF41" s="16"/>
    </row>
    <row r="42" spans="1:32" ht="16.05" customHeight="1" x14ac:dyDescent="0.25">
      <c r="A42" s="93"/>
      <c r="B42" s="102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3"/>
      <c r="AE42" s="104"/>
      <c r="AF42" s="16"/>
    </row>
    <row r="43" spans="1:32" ht="15.75" customHeight="1" x14ac:dyDescent="0.25">
      <c r="A43" s="93"/>
      <c r="B43" s="102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  <c r="AA43" s="103"/>
      <c r="AB43" s="103"/>
      <c r="AC43" s="103"/>
      <c r="AD43" s="103"/>
      <c r="AE43" s="104"/>
      <c r="AF43" s="16"/>
    </row>
    <row r="44" spans="1:32" ht="16.05" customHeight="1" x14ac:dyDescent="0.25">
      <c r="A44" s="93"/>
      <c r="B44" s="105"/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6"/>
      <c r="AA44" s="106"/>
      <c r="AB44" s="106"/>
      <c r="AC44" s="106"/>
      <c r="AD44" s="106"/>
      <c r="AE44" s="107"/>
      <c r="AF44" s="16"/>
    </row>
    <row r="45" spans="1:32" ht="20.25" customHeight="1" x14ac:dyDescent="0.25">
      <c r="A45" s="93"/>
      <c r="B45" s="112">
        <f>H61</f>
        <v>46023</v>
      </c>
      <c r="C45" s="112"/>
      <c r="D45" s="112"/>
      <c r="E45" s="112"/>
      <c r="F45" s="111" t="s">
        <v>55</v>
      </c>
      <c r="G45" s="111"/>
      <c r="H45" s="111"/>
      <c r="I45" s="111" t="s">
        <v>96</v>
      </c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08"/>
      <c r="AA45" s="109"/>
      <c r="AB45" s="108"/>
      <c r="AC45" s="109"/>
      <c r="AD45" s="108"/>
      <c r="AE45" s="109"/>
      <c r="AF45" s="16"/>
    </row>
    <row r="46" spans="1:32" ht="16.05" customHeight="1" x14ac:dyDescent="0.25">
      <c r="A46" s="93"/>
      <c r="B46" s="112"/>
      <c r="C46" s="112"/>
      <c r="D46" s="112"/>
      <c r="E46" s="112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0" t="str">
        <f>D61</f>
        <v>MZK</v>
      </c>
      <c r="AA46" s="111"/>
      <c r="AB46" s="110" t="str">
        <f>D62</f>
        <v>PN</v>
      </c>
      <c r="AC46" s="111"/>
      <c r="AD46" s="110" t="str">
        <f>D63</f>
        <v>RPV</v>
      </c>
      <c r="AE46" s="111"/>
      <c r="AF46" s="16"/>
    </row>
    <row r="47" spans="1:32" ht="18.75" customHeight="1" x14ac:dyDescent="0.25">
      <c r="A47" s="93"/>
      <c r="B47" s="98" t="s">
        <v>56</v>
      </c>
      <c r="C47" s="98"/>
      <c r="D47" s="98"/>
      <c r="E47" s="98"/>
      <c r="F47" s="98" t="s">
        <v>57</v>
      </c>
      <c r="G47" s="98"/>
      <c r="H47" s="98"/>
      <c r="I47" s="98" t="s">
        <v>8</v>
      </c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 t="s">
        <v>58</v>
      </c>
      <c r="AA47" s="98"/>
      <c r="AB47" s="98" t="s">
        <v>59</v>
      </c>
      <c r="AC47" s="98"/>
      <c r="AD47" s="98" t="s">
        <v>60</v>
      </c>
      <c r="AE47" s="98"/>
      <c r="AF47" s="16"/>
    </row>
    <row r="48" spans="1:32" ht="24" customHeight="1" x14ac:dyDescent="0.25">
      <c r="A48" s="93"/>
      <c r="B48" s="19"/>
      <c r="C48" s="57"/>
      <c r="D48" s="57"/>
      <c r="E48" s="57"/>
      <c r="F48" s="57"/>
      <c r="G48" s="57"/>
      <c r="H48" s="113" t="s">
        <v>102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57"/>
      <c r="AC48" s="57"/>
      <c r="AD48" s="57"/>
      <c r="AE48" s="20"/>
      <c r="AF48" s="16"/>
    </row>
    <row r="49" spans="1:38" ht="31.5" customHeight="1" x14ac:dyDescent="0.25">
      <c r="A49" s="93"/>
      <c r="B49" s="19"/>
      <c r="C49" s="57"/>
      <c r="D49" s="57"/>
      <c r="E49" s="57"/>
      <c r="F49" s="57"/>
      <c r="G49" s="57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57"/>
      <c r="AC49" s="57"/>
      <c r="AD49" s="57"/>
      <c r="AE49" s="20"/>
      <c r="AF49" s="16"/>
    </row>
    <row r="50" spans="1:38" ht="16.05" customHeight="1" x14ac:dyDescent="0.25">
      <c r="A50" s="93"/>
      <c r="B50" s="94" t="s">
        <v>61</v>
      </c>
      <c r="C50" s="95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21"/>
      <c r="Q50" s="22"/>
      <c r="R50" s="23" t="s">
        <v>62</v>
      </c>
      <c r="S50" s="24"/>
      <c r="T50" s="24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6"/>
      <c r="AF50" s="16"/>
    </row>
    <row r="51" spans="1:38" ht="16.05" customHeight="1" x14ac:dyDescent="0.25">
      <c r="A51" s="93"/>
      <c r="B51" s="115" t="s">
        <v>120</v>
      </c>
      <c r="C51" s="116"/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7"/>
      <c r="R51" s="122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4"/>
      <c r="AF51" s="16"/>
    </row>
    <row r="52" spans="1:38" ht="16.05" customHeight="1" x14ac:dyDescent="0.25">
      <c r="A52" s="93"/>
      <c r="B52" s="118"/>
      <c r="C52" s="116"/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7"/>
      <c r="R52" s="125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4"/>
      <c r="AF52" s="16"/>
    </row>
    <row r="53" spans="1:38" ht="16.05" customHeight="1" x14ac:dyDescent="0.25">
      <c r="A53" s="93"/>
      <c r="B53" s="119"/>
      <c r="C53" s="120"/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1"/>
      <c r="R53" s="126"/>
      <c r="S53" s="127"/>
      <c r="T53" s="127"/>
      <c r="U53" s="127"/>
      <c r="V53" s="127"/>
      <c r="W53" s="127"/>
      <c r="X53" s="127"/>
      <c r="Y53" s="127"/>
      <c r="Z53" s="127"/>
      <c r="AA53" s="127"/>
      <c r="AB53" s="127"/>
      <c r="AC53" s="127"/>
      <c r="AD53" s="127"/>
      <c r="AE53" s="128"/>
      <c r="AF53" s="16"/>
    </row>
    <row r="54" spans="1:38" ht="16.05" customHeight="1" x14ac:dyDescent="0.25">
      <c r="A54" s="93"/>
      <c r="B54" s="94" t="s">
        <v>121</v>
      </c>
      <c r="C54" s="95"/>
      <c r="D54" s="95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97"/>
      <c r="AF54" s="16"/>
    </row>
    <row r="55" spans="1:38" ht="68.25" customHeight="1" x14ac:dyDescent="0.25">
      <c r="A55" s="93"/>
      <c r="B55" s="129" t="s">
        <v>118</v>
      </c>
      <c r="C55" s="130"/>
      <c r="D55" s="130"/>
      <c r="E55" s="130"/>
      <c r="F55" s="130"/>
      <c r="G55" s="130"/>
      <c r="H55" s="130"/>
      <c r="I55" s="130"/>
      <c r="J55" s="130"/>
      <c r="K55" s="130"/>
      <c r="L55" s="130"/>
      <c r="M55" s="130"/>
      <c r="N55" s="130"/>
      <c r="O55" s="130"/>
      <c r="P55" s="130"/>
      <c r="Q55" s="130"/>
      <c r="R55" s="130"/>
      <c r="S55" s="130"/>
      <c r="T55" s="130"/>
      <c r="U55" s="130"/>
      <c r="V55" s="130"/>
      <c r="W55" s="130"/>
      <c r="X55" s="130"/>
      <c r="Y55" s="130"/>
      <c r="Z55" s="130"/>
      <c r="AA55" s="130"/>
      <c r="AB55" s="130"/>
      <c r="AC55" s="130"/>
      <c r="AD55" s="130"/>
      <c r="AE55" s="131"/>
      <c r="AF55" s="16"/>
    </row>
    <row r="56" spans="1:38" ht="16.05" customHeight="1" x14ac:dyDescent="0.25">
      <c r="A56" s="93"/>
      <c r="B56" s="132" t="s">
        <v>63</v>
      </c>
      <c r="C56" s="133"/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4"/>
      <c r="AF56" s="16"/>
    </row>
    <row r="57" spans="1:38" ht="16.05" customHeight="1" x14ac:dyDescent="0.25">
      <c r="A57" s="93"/>
      <c r="B57" s="135" t="s">
        <v>64</v>
      </c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  <c r="X57" s="136"/>
      <c r="Y57" s="136"/>
      <c r="Z57" s="136"/>
      <c r="AA57" s="136"/>
      <c r="AB57" s="136"/>
      <c r="AC57" s="136"/>
      <c r="AD57" s="136"/>
      <c r="AE57" s="137"/>
      <c r="AF57" s="16"/>
    </row>
    <row r="58" spans="1:38" ht="21" customHeight="1" x14ac:dyDescent="0.25">
      <c r="A58" s="93"/>
      <c r="B58" s="138" t="s">
        <v>65</v>
      </c>
      <c r="C58" s="139"/>
      <c r="D58" s="27"/>
      <c r="E58" s="27" t="s">
        <v>301</v>
      </c>
      <c r="F58" s="28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9"/>
      <c r="AF58" s="16"/>
    </row>
    <row r="59" spans="1:38" ht="15.75" customHeight="1" x14ac:dyDescent="0.25">
      <c r="A59" s="30"/>
      <c r="B59" s="132"/>
      <c r="C59" s="133"/>
      <c r="D59" s="133"/>
      <c r="E59" s="133"/>
      <c r="F59" s="133"/>
      <c r="G59" s="134"/>
      <c r="H59" s="140"/>
      <c r="I59" s="141"/>
      <c r="J59" s="132" t="s">
        <v>66</v>
      </c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4"/>
      <c r="AF59" s="16"/>
    </row>
    <row r="60" spans="1:38" ht="16.05" customHeight="1" x14ac:dyDescent="0.4">
      <c r="A60" s="30"/>
      <c r="B60" s="111"/>
      <c r="C60" s="111"/>
      <c r="D60" s="98" t="s">
        <v>67</v>
      </c>
      <c r="E60" s="98"/>
      <c r="F60" s="98" t="s">
        <v>68</v>
      </c>
      <c r="G60" s="98"/>
      <c r="H60" s="98" t="s">
        <v>56</v>
      </c>
      <c r="I60" s="98"/>
      <c r="J60" s="149" t="s">
        <v>122</v>
      </c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1"/>
      <c r="AF60" s="16"/>
      <c r="AL60" s="31"/>
    </row>
    <row r="61" spans="1:38" ht="23.1" customHeight="1" x14ac:dyDescent="0.25">
      <c r="A61" s="30"/>
      <c r="B61" s="98" t="s">
        <v>69</v>
      </c>
      <c r="C61" s="98"/>
      <c r="D61" s="142" t="s">
        <v>103</v>
      </c>
      <c r="E61" s="142"/>
      <c r="F61" s="143"/>
      <c r="G61" s="145"/>
      <c r="H61" s="144">
        <v>46023</v>
      </c>
      <c r="I61" s="144"/>
      <c r="J61" s="152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4"/>
      <c r="AF61" s="16"/>
    </row>
    <row r="62" spans="1:38" ht="23.1" customHeight="1" x14ac:dyDescent="0.25">
      <c r="A62" s="30"/>
      <c r="B62" s="98" t="s">
        <v>70</v>
      </c>
      <c r="C62" s="98"/>
      <c r="D62" s="142" t="s">
        <v>71</v>
      </c>
      <c r="E62" s="142"/>
      <c r="F62" s="143"/>
      <c r="G62" s="145"/>
      <c r="H62" s="144">
        <f>H61+1</f>
        <v>46024</v>
      </c>
      <c r="I62" s="144"/>
      <c r="J62" s="152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4"/>
      <c r="AF62" s="16"/>
    </row>
    <row r="63" spans="1:38" ht="23.1" customHeight="1" x14ac:dyDescent="0.25">
      <c r="A63" s="30"/>
      <c r="B63" s="98" t="s">
        <v>72</v>
      </c>
      <c r="C63" s="98"/>
      <c r="D63" s="142" t="s">
        <v>73</v>
      </c>
      <c r="E63" s="142"/>
      <c r="F63" s="143"/>
      <c r="G63" s="143"/>
      <c r="H63" s="144">
        <f>H62+1</f>
        <v>46025</v>
      </c>
      <c r="I63" s="144"/>
      <c r="J63" s="155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56"/>
      <c r="AE63" s="157"/>
      <c r="AF63" s="16"/>
    </row>
    <row r="64" spans="1:38" ht="16.05" customHeight="1" x14ac:dyDescent="0.25">
      <c r="A64" s="30"/>
      <c r="B64" s="32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146" t="s">
        <v>74</v>
      </c>
      <c r="AC64" s="147"/>
      <c r="AD64" s="148" t="s">
        <v>75</v>
      </c>
      <c r="AE64" s="147"/>
      <c r="AF64" s="16"/>
    </row>
    <row r="65" spans="1:33" ht="16.05" customHeight="1" x14ac:dyDescent="0.3">
      <c r="A65" s="30"/>
      <c r="B65" s="34" t="s">
        <v>76</v>
      </c>
      <c r="C65" s="57"/>
      <c r="D65" s="35" t="s">
        <v>77</v>
      </c>
      <c r="E65" s="35" t="s">
        <v>78</v>
      </c>
      <c r="F65" s="35">
        <v>2</v>
      </c>
      <c r="G65" s="35">
        <v>2</v>
      </c>
      <c r="H65" s="35" t="s">
        <v>79</v>
      </c>
      <c r="I65" s="35">
        <v>2</v>
      </c>
      <c r="J65" s="35">
        <v>3</v>
      </c>
      <c r="K65" s="35">
        <v>2</v>
      </c>
      <c r="L65" s="35" t="s">
        <v>45</v>
      </c>
      <c r="M65" s="35" t="s">
        <v>80</v>
      </c>
      <c r="N65" s="35" t="s">
        <v>45</v>
      </c>
      <c r="O65" s="35" t="s">
        <v>81</v>
      </c>
      <c r="P65" s="35" t="s">
        <v>82</v>
      </c>
      <c r="Q65" s="35" t="s">
        <v>45</v>
      </c>
      <c r="R65" s="35" t="s">
        <v>117</v>
      </c>
      <c r="S65" s="35" t="s">
        <v>81</v>
      </c>
      <c r="T65" s="35" t="s">
        <v>45</v>
      </c>
      <c r="U65" s="35" t="s">
        <v>40</v>
      </c>
      <c r="V65" s="35" t="s">
        <v>80</v>
      </c>
      <c r="W65" s="35" t="s">
        <v>45</v>
      </c>
      <c r="X65" s="35">
        <v>5</v>
      </c>
      <c r="Y65" s="35">
        <v>0</v>
      </c>
      <c r="Z65" s="35">
        <v>1</v>
      </c>
      <c r="AA65" s="35">
        <v>0</v>
      </c>
      <c r="AC65" s="36" t="s">
        <v>83</v>
      </c>
      <c r="AD65" s="17"/>
      <c r="AE65" s="18" t="s">
        <v>55</v>
      </c>
      <c r="AF65" s="16"/>
      <c r="AG65" s="37"/>
    </row>
    <row r="66" spans="1:33" ht="16.05" customHeight="1" x14ac:dyDescent="0.25">
      <c r="A66" s="30"/>
      <c r="B66" s="38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40"/>
      <c r="AC66" s="41"/>
      <c r="AD66" s="42"/>
      <c r="AE66" s="43"/>
      <c r="AF66" s="16"/>
    </row>
    <row r="67" spans="1:33" ht="10.050000000000001" customHeight="1" x14ac:dyDescent="0.25">
      <c r="A67" s="30"/>
      <c r="B67" s="32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44"/>
      <c r="AF67" s="16"/>
    </row>
    <row r="68" spans="1:33" ht="10.050000000000001" customHeight="1" x14ac:dyDescent="0.25">
      <c r="A68" s="30"/>
      <c r="B68" s="14"/>
      <c r="F68" s="32"/>
      <c r="G68" s="33"/>
      <c r="H68" s="33"/>
      <c r="I68" s="33"/>
      <c r="J68" s="33"/>
      <c r="K68" s="33"/>
      <c r="L68" s="44"/>
      <c r="M68" s="32"/>
      <c r="N68" s="33"/>
      <c r="O68" s="33"/>
      <c r="P68" s="44"/>
      <c r="Q68" s="32"/>
      <c r="R68" s="33"/>
      <c r="S68" s="33"/>
      <c r="T68" s="33"/>
      <c r="U68" s="44"/>
      <c r="V68" s="32"/>
      <c r="W68" s="33"/>
      <c r="X68" s="33"/>
      <c r="Y68" s="33"/>
      <c r="Z68" s="44"/>
      <c r="AA68" s="32"/>
      <c r="AB68" s="33"/>
      <c r="AC68" s="33"/>
      <c r="AD68" s="33"/>
      <c r="AE68" s="44"/>
      <c r="AF68" s="16"/>
    </row>
    <row r="69" spans="1:33" ht="16.05" customHeight="1" x14ac:dyDescent="0.25">
      <c r="A69" s="30"/>
      <c r="B69" s="45" t="s">
        <v>84</v>
      </c>
      <c r="C69" s="58"/>
      <c r="D69" s="58"/>
      <c r="E69" s="58"/>
      <c r="F69" s="14"/>
      <c r="G69" s="56" t="b">
        <v>0</v>
      </c>
      <c r="H69" s="59" t="s">
        <v>85</v>
      </c>
      <c r="I69" s="60"/>
      <c r="J69" s="60"/>
      <c r="K69" s="60"/>
      <c r="L69" s="46"/>
      <c r="M69" s="47"/>
      <c r="N69" s="56" t="b">
        <v>0</v>
      </c>
      <c r="O69" s="59" t="s">
        <v>86</v>
      </c>
      <c r="P69" s="46"/>
      <c r="Q69" s="14"/>
      <c r="R69" s="56" t="b">
        <v>1</v>
      </c>
      <c r="S69" s="59" t="s">
        <v>87</v>
      </c>
      <c r="T69" s="60"/>
      <c r="U69" s="46"/>
      <c r="V69" s="47"/>
      <c r="W69" s="56" t="b">
        <v>0</v>
      </c>
      <c r="X69" s="59" t="s">
        <v>88</v>
      </c>
      <c r="Y69" s="60"/>
      <c r="Z69" s="46"/>
      <c r="AA69" s="14"/>
      <c r="AB69" s="56" t="b">
        <v>0</v>
      </c>
      <c r="AC69" s="59" t="s">
        <v>89</v>
      </c>
      <c r="AE69" s="15"/>
      <c r="AF69" s="16"/>
    </row>
    <row r="70" spans="1:33" ht="10.050000000000001" customHeight="1" x14ac:dyDescent="0.25">
      <c r="A70" s="30"/>
      <c r="B70" s="48"/>
      <c r="C70" s="58"/>
      <c r="D70" s="58"/>
      <c r="E70" s="58"/>
      <c r="F70" s="49"/>
      <c r="G70" s="50"/>
      <c r="H70" s="50"/>
      <c r="I70" s="50"/>
      <c r="J70" s="50"/>
      <c r="K70" s="50"/>
      <c r="L70" s="51"/>
      <c r="M70" s="49"/>
      <c r="N70" s="50"/>
      <c r="O70" s="50"/>
      <c r="P70" s="51"/>
      <c r="Q70" s="49"/>
      <c r="R70" s="50"/>
      <c r="S70" s="50"/>
      <c r="T70" s="50"/>
      <c r="U70" s="51"/>
      <c r="V70" s="49"/>
      <c r="W70" s="50"/>
      <c r="X70" s="50"/>
      <c r="Y70" s="50"/>
      <c r="Z70" s="51"/>
      <c r="AA70" s="49"/>
      <c r="AB70" s="50"/>
      <c r="AC70" s="50"/>
      <c r="AD70" s="50"/>
      <c r="AE70" s="52"/>
      <c r="AF70" s="16"/>
    </row>
    <row r="71" spans="1:33" ht="10.050000000000001" customHeight="1" x14ac:dyDescent="0.25">
      <c r="A71" s="30"/>
      <c r="B71" s="38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52"/>
      <c r="AF71" s="16"/>
    </row>
    <row r="72" spans="1:33" ht="16.05" customHeight="1" thickBot="1" x14ac:dyDescent="0.3">
      <c r="A72" s="53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5"/>
    </row>
    <row r="74" spans="1:33" ht="16.05" customHeight="1" x14ac:dyDescent="0.25">
      <c r="R74" s="13" t="s">
        <v>116</v>
      </c>
    </row>
  </sheetData>
  <mergeCells count="50">
    <mergeCell ref="B62:C62"/>
    <mergeCell ref="AB64:AC64"/>
    <mergeCell ref="AD64:AE64"/>
    <mergeCell ref="D62:E62"/>
    <mergeCell ref="F62:G62"/>
    <mergeCell ref="H62:I62"/>
    <mergeCell ref="J60:AE63"/>
    <mergeCell ref="B58:C58"/>
    <mergeCell ref="B59:G59"/>
    <mergeCell ref="H59:I59"/>
    <mergeCell ref="J59:AE59"/>
    <mergeCell ref="B63:C63"/>
    <mergeCell ref="D63:E63"/>
    <mergeCell ref="F63:G63"/>
    <mergeCell ref="H63:I63"/>
    <mergeCell ref="B60:C60"/>
    <mergeCell ref="D60:E60"/>
    <mergeCell ref="F60:G60"/>
    <mergeCell ref="H60:I60"/>
    <mergeCell ref="B61:C61"/>
    <mergeCell ref="D61:E61"/>
    <mergeCell ref="F61:G61"/>
    <mergeCell ref="H61:I61"/>
    <mergeCell ref="B51:Q53"/>
    <mergeCell ref="R51:AE53"/>
    <mergeCell ref="B55:AE55"/>
    <mergeCell ref="B56:AE56"/>
    <mergeCell ref="B57:AE57"/>
    <mergeCell ref="Z45:AA45"/>
    <mergeCell ref="AB45:AC45"/>
    <mergeCell ref="AD47:AE47"/>
    <mergeCell ref="H48:AA49"/>
    <mergeCell ref="B50:C50"/>
    <mergeCell ref="D50:O50"/>
    <mergeCell ref="A1:A58"/>
    <mergeCell ref="B54:D54"/>
    <mergeCell ref="E54:AE54"/>
    <mergeCell ref="B47:E47"/>
    <mergeCell ref="F47:H47"/>
    <mergeCell ref="I47:Y47"/>
    <mergeCell ref="Z47:AA47"/>
    <mergeCell ref="AB47:AC47"/>
    <mergeCell ref="B2:AE44"/>
    <mergeCell ref="AD45:AE45"/>
    <mergeCell ref="Z46:AA46"/>
    <mergeCell ref="AB46:AC46"/>
    <mergeCell ref="AD46:AE46"/>
    <mergeCell ref="B45:E46"/>
    <mergeCell ref="F45:H46"/>
    <mergeCell ref="I45:Y46"/>
  </mergeCells>
  <printOptions horizontalCentered="1"/>
  <pageMargins left="0.25" right="0.25" top="0.75" bottom="0.75" header="0.3" footer="0.3"/>
  <pageSetup paperSize="9" scale="63" fitToHeight="0" orientation="portrait" r:id="rId1"/>
  <headerFooter alignWithMargins="0">
    <oddFooter>&amp;L&amp;1#&amp;"Calibri"&amp;8&amp;K000000Sensitivity: LNT Construction 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2:S32"/>
  <sheetViews>
    <sheetView view="pageBreakPreview" zoomScale="40" zoomScaleNormal="85" zoomScaleSheetLayoutView="40" zoomScalePageLayoutView="65" workbookViewId="0">
      <selection activeCell="C12" sqref="C12:C13"/>
    </sheetView>
  </sheetViews>
  <sheetFormatPr defaultColWidth="8.77734375" defaultRowHeight="13.2" x14ac:dyDescent="0.25"/>
  <cols>
    <col min="1" max="1" width="2.77734375" style="7" customWidth="1"/>
    <col min="2" max="2" width="12.88671875" style="7" bestFit="1" customWidth="1"/>
    <col min="3" max="3" width="31" style="7" customWidth="1"/>
    <col min="4" max="4" width="26.21875" style="7" bestFit="1" customWidth="1"/>
    <col min="5" max="5" width="19.77734375" style="7" customWidth="1"/>
    <col min="6" max="6" width="18.109375" style="7" customWidth="1"/>
    <col min="7" max="7" width="18.88671875" style="7" customWidth="1"/>
    <col min="8" max="8" width="20.109375" style="7" bestFit="1" customWidth="1"/>
    <col min="9" max="9" width="36.88671875" style="7" customWidth="1"/>
    <col min="10" max="10" width="42.109375" style="7" customWidth="1"/>
    <col min="11" max="11" width="21" style="7" bestFit="1" customWidth="1"/>
    <col min="12" max="12" width="17.88671875" style="7" bestFit="1" customWidth="1"/>
    <col min="13" max="13" width="45.21875" style="7" customWidth="1"/>
    <col min="14" max="14" width="50.21875" style="7" customWidth="1"/>
    <col min="15" max="15" width="46.88671875" style="7" customWidth="1"/>
    <col min="16" max="16" width="27.6640625" style="8" customWidth="1"/>
    <col min="17" max="17" width="17.88671875" style="7" bestFit="1" customWidth="1"/>
    <col min="18" max="18" width="88.21875" style="7" customWidth="1"/>
    <col min="19" max="19" width="17.109375" style="7" bestFit="1" customWidth="1"/>
    <col min="20" max="16384" width="8.77734375" style="7"/>
  </cols>
  <sheetData>
    <row r="2" spans="2:19" ht="90" customHeight="1" x14ac:dyDescent="0.25">
      <c r="B2" s="82" t="s">
        <v>46</v>
      </c>
      <c r="C2" s="82"/>
      <c r="D2" s="82"/>
      <c r="E2" s="82"/>
      <c r="F2" s="82"/>
      <c r="G2" s="82"/>
      <c r="H2" s="82"/>
      <c r="I2" s="82" t="str">
        <f>Cover!B54&amp;" "&amp;Cover!B55</f>
        <v>PROJECT: DESIGN AND CONSTRUCTION FOR DHANKI TO TOKRALA (UPTO NATIONAL HIGHWAY CROSSING) BULK PIPELINE 45 KMS INCLUDING CONSTRUCTION OF RCC U/G SUMP, PUMP HOUSE, SITC OF PUMPING MACHINERY AND ANCILLARY WORKS AT DHANKI PUMPING STATION WITH 10 YEARS COMPREHENSIVE OPERATION &amp; MAINTENANCE UNDER DHANKI TO NAVDA PIPELINE PROJECT (PACKAGE NO-1 NC 42)</v>
      </c>
      <c r="J2" s="82"/>
      <c r="K2" s="82"/>
      <c r="L2" s="82"/>
      <c r="M2" s="82"/>
      <c r="N2" s="82"/>
      <c r="O2" s="82"/>
      <c r="P2" s="82" t="s">
        <v>0</v>
      </c>
      <c r="Q2" s="82"/>
      <c r="R2" s="82"/>
      <c r="S2" s="82"/>
    </row>
    <row r="3" spans="2:19" ht="60" customHeight="1" x14ac:dyDescent="0.25">
      <c r="B3" s="61" t="s">
        <v>48</v>
      </c>
      <c r="C3" s="82" t="s">
        <v>49</v>
      </c>
      <c r="D3" s="82"/>
      <c r="E3" s="82"/>
      <c r="F3" s="82"/>
      <c r="G3" s="82"/>
      <c r="H3" s="82"/>
      <c r="I3" s="82" t="s">
        <v>119</v>
      </c>
      <c r="J3" s="82"/>
      <c r="K3" s="82"/>
      <c r="L3" s="82"/>
      <c r="M3" s="82"/>
      <c r="N3" s="82"/>
      <c r="O3" s="82"/>
      <c r="P3" s="82" t="s">
        <v>1</v>
      </c>
      <c r="Q3" s="82"/>
      <c r="R3" s="82"/>
      <c r="S3" s="82"/>
    </row>
    <row r="4" spans="2:19" ht="60" customHeight="1" x14ac:dyDescent="0.25">
      <c r="B4" s="85" t="s">
        <v>47</v>
      </c>
      <c r="C4" s="85"/>
      <c r="D4" s="85"/>
      <c r="E4" s="85"/>
      <c r="F4" s="85"/>
      <c r="G4" s="85"/>
      <c r="H4" s="85"/>
      <c r="I4" s="84" t="str">
        <f>"DOCUMENT NO: "&amp;_xlfn.CONCAT(Cover!D65:AA65)</f>
        <v>DOCUMENT NO: LE22M232-I-WS-RW-CI-5010</v>
      </c>
      <c r="J4" s="84"/>
      <c r="K4" s="84"/>
      <c r="L4" s="84"/>
      <c r="M4" s="84"/>
      <c r="N4" s="84"/>
      <c r="O4" s="84"/>
      <c r="P4" s="62" t="s">
        <v>97</v>
      </c>
      <c r="Q4" s="158">
        <f>Cover!B45</f>
        <v>46023</v>
      </c>
      <c r="R4" s="82"/>
      <c r="S4" s="82"/>
    </row>
    <row r="5" spans="2:19" ht="30" customHeight="1" x14ac:dyDescent="0.25">
      <c r="B5" s="83" t="s">
        <v>32</v>
      </c>
      <c r="C5" s="84" t="s">
        <v>50</v>
      </c>
      <c r="D5" s="84"/>
      <c r="E5" s="84"/>
      <c r="F5" s="84"/>
      <c r="G5" s="84"/>
      <c r="H5" s="84"/>
      <c r="I5" s="82" t="s">
        <v>107</v>
      </c>
      <c r="J5" s="82" t="s">
        <v>108</v>
      </c>
      <c r="K5" s="84" t="s">
        <v>2</v>
      </c>
      <c r="L5" s="84"/>
      <c r="M5" s="82" t="s">
        <v>109</v>
      </c>
      <c r="N5" s="83" t="s">
        <v>3</v>
      </c>
      <c r="O5" s="82" t="s">
        <v>110</v>
      </c>
      <c r="P5" s="84" t="s">
        <v>53</v>
      </c>
      <c r="Q5" s="84"/>
      <c r="R5" s="84"/>
      <c r="S5" s="83" t="s">
        <v>51</v>
      </c>
    </row>
    <row r="6" spans="2:19" ht="60" customHeight="1" x14ac:dyDescent="0.25">
      <c r="B6" s="83"/>
      <c r="C6" s="63" t="s">
        <v>4</v>
      </c>
      <c r="D6" s="63" t="s">
        <v>3</v>
      </c>
      <c r="E6" s="63" t="s">
        <v>321</v>
      </c>
      <c r="F6" s="63" t="s">
        <v>322</v>
      </c>
      <c r="G6" s="63" t="s">
        <v>35</v>
      </c>
      <c r="H6" s="63" t="s">
        <v>36</v>
      </c>
      <c r="I6" s="82"/>
      <c r="J6" s="82"/>
      <c r="K6" s="63" t="s">
        <v>5</v>
      </c>
      <c r="L6" s="63" t="s">
        <v>6</v>
      </c>
      <c r="M6" s="84"/>
      <c r="N6" s="83"/>
      <c r="O6" s="82"/>
      <c r="P6" s="63" t="s">
        <v>7</v>
      </c>
      <c r="Q6" s="63" t="s">
        <v>6</v>
      </c>
      <c r="R6" s="63" t="s">
        <v>8</v>
      </c>
      <c r="S6" s="83"/>
    </row>
    <row r="7" spans="2:19" ht="30" customHeight="1" x14ac:dyDescent="0.25">
      <c r="B7" s="86" t="s">
        <v>9</v>
      </c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</row>
    <row r="8" spans="2:19" ht="30" customHeight="1" x14ac:dyDescent="0.25">
      <c r="B8" s="88">
        <v>1</v>
      </c>
      <c r="C8" s="159" t="s">
        <v>123</v>
      </c>
      <c r="D8" s="159" t="s">
        <v>195</v>
      </c>
      <c r="E8" s="77">
        <v>5</v>
      </c>
      <c r="F8" s="77">
        <v>0</v>
      </c>
      <c r="G8" s="69" t="str">
        <f>"1T"&amp;TEXT(E8,"00")&amp;TEXT(F8,"00")</f>
        <v>1T0500</v>
      </c>
      <c r="H8" s="65">
        <v>1</v>
      </c>
      <c r="I8" s="65" t="str">
        <f>CONCATENATE(H8,"-",G8,"/",K8,"-",L8)</f>
        <v>1-1T0500/*-*</v>
      </c>
      <c r="J8" s="65" t="str">
        <f>CONCATENATE(K8,"-",L8,"/",G8,"-",H8)</f>
        <v>*-*/1T0500-1</v>
      </c>
      <c r="K8" s="65" t="s">
        <v>33</v>
      </c>
      <c r="L8" s="65" t="s">
        <v>33</v>
      </c>
      <c r="M8" s="65" t="str">
        <f>CONCATENATE(K8,"-",L8,"/",P8,Q8)</f>
        <v>*-*/LT-01(+)</v>
      </c>
      <c r="N8" s="159" t="str">
        <f t="shared" ref="N8:N30" si="0">D8</f>
        <v>2P x 1.0 SQ. MM</v>
      </c>
      <c r="O8" s="65" t="str">
        <f>CONCATENATE(P8,Q8,"/",K8,"-",L8)</f>
        <v>LT-01(+)/*-*</v>
      </c>
      <c r="P8" s="64" t="str">
        <f>C8</f>
        <v>LT-01</v>
      </c>
      <c r="Q8" s="64" t="s">
        <v>11</v>
      </c>
      <c r="R8" s="90" t="s">
        <v>135</v>
      </c>
      <c r="S8" s="88"/>
    </row>
    <row r="9" spans="2:19" ht="30" customHeight="1" x14ac:dyDescent="0.25">
      <c r="B9" s="88"/>
      <c r="C9" s="159"/>
      <c r="D9" s="159"/>
      <c r="E9" s="77">
        <v>5</v>
      </c>
      <c r="F9" s="77">
        <v>0</v>
      </c>
      <c r="G9" s="69" t="str">
        <f t="shared" ref="G9:G31" si="1">"1T"&amp;TEXT(E9,"00")&amp;TEXT(F9,"00")</f>
        <v>1T0500</v>
      </c>
      <c r="H9" s="65">
        <f>H8+1</f>
        <v>2</v>
      </c>
      <c r="I9" s="65" t="str">
        <f t="shared" ref="I9:I27" si="2">CONCATENATE(H9,"-",G9,"/",K9,"-",L9)</f>
        <v>2-1T0500/*-*</v>
      </c>
      <c r="J9" s="65" t="str">
        <f t="shared" ref="J9:J27" si="3">CONCATENATE(K9,"-",L9,"/",G9,"-",H9)</f>
        <v>*-*/1T0500-2</v>
      </c>
      <c r="K9" s="65" t="s">
        <v>33</v>
      </c>
      <c r="L9" s="65" t="s">
        <v>33</v>
      </c>
      <c r="M9" s="65" t="str">
        <f>CONCATENATE(K9,"-",L9,"/",P9,Q9)</f>
        <v>*-*/LT-01(-)</v>
      </c>
      <c r="N9" s="159"/>
      <c r="O9" s="65" t="str">
        <f>CONCATENATE(P9,Q9,"/",K9,"-",L9)</f>
        <v>LT-01(-)/*-*</v>
      </c>
      <c r="P9" s="64" t="str">
        <f>P8</f>
        <v>LT-01</v>
      </c>
      <c r="Q9" s="64" t="s">
        <v>12</v>
      </c>
      <c r="R9" s="90"/>
      <c r="S9" s="88"/>
    </row>
    <row r="10" spans="2:19" ht="30" customHeight="1" x14ac:dyDescent="0.25">
      <c r="B10" s="88">
        <f>B8+1</f>
        <v>2</v>
      </c>
      <c r="C10" s="159" t="s">
        <v>124</v>
      </c>
      <c r="D10" s="159" t="s">
        <v>195</v>
      </c>
      <c r="E10" s="77">
        <v>5</v>
      </c>
      <c r="F10" s="77">
        <v>0</v>
      </c>
      <c r="G10" s="69" t="str">
        <f t="shared" si="1"/>
        <v>1T0500</v>
      </c>
      <c r="H10" s="65">
        <f>H9+2</f>
        <v>4</v>
      </c>
      <c r="I10" s="65" t="str">
        <f t="shared" si="2"/>
        <v>4-1T0500/*-*</v>
      </c>
      <c r="J10" s="65" t="str">
        <f t="shared" si="3"/>
        <v>*-*/1T0500-4</v>
      </c>
      <c r="K10" s="65" t="s">
        <v>33</v>
      </c>
      <c r="L10" s="65" t="s">
        <v>33</v>
      </c>
      <c r="M10" s="65" t="str">
        <f t="shared" ref="M10:M27" si="4">CONCATENATE(K10,"-",L10,"/",P10,Q10)</f>
        <v>*-*/PT-01(+)</v>
      </c>
      <c r="N10" s="159" t="str">
        <f t="shared" si="0"/>
        <v>2P x 1.0 SQ. MM</v>
      </c>
      <c r="O10" s="65" t="str">
        <f t="shared" ref="O10:O11" si="5">CONCATENATE(P10,Q10,"/",K10,"-",L10)</f>
        <v>PT-01(+)/*-*</v>
      </c>
      <c r="P10" s="64" t="str">
        <f>C10</f>
        <v>PT-01</v>
      </c>
      <c r="Q10" s="64" t="s">
        <v>11</v>
      </c>
      <c r="R10" s="90" t="s">
        <v>136</v>
      </c>
      <c r="S10" s="88"/>
    </row>
    <row r="11" spans="2:19" ht="30" customHeight="1" x14ac:dyDescent="0.25">
      <c r="B11" s="88"/>
      <c r="C11" s="159"/>
      <c r="D11" s="159"/>
      <c r="E11" s="77">
        <v>5</v>
      </c>
      <c r="F11" s="77">
        <v>0</v>
      </c>
      <c r="G11" s="69" t="str">
        <f t="shared" si="1"/>
        <v>1T0500</v>
      </c>
      <c r="H11" s="65">
        <f>H10+1</f>
        <v>5</v>
      </c>
      <c r="I11" s="65" t="str">
        <f t="shared" si="2"/>
        <v>5-1T0500/*-*</v>
      </c>
      <c r="J11" s="65" t="str">
        <f t="shared" si="3"/>
        <v>*-*/1T0500-5</v>
      </c>
      <c r="K11" s="65" t="s">
        <v>33</v>
      </c>
      <c r="L11" s="65" t="s">
        <v>33</v>
      </c>
      <c r="M11" s="65" t="str">
        <f t="shared" si="4"/>
        <v>*-*/PT-01(-)</v>
      </c>
      <c r="N11" s="159"/>
      <c r="O11" s="65" t="str">
        <f t="shared" si="5"/>
        <v>PT-01(-)/*-*</v>
      </c>
      <c r="P11" s="64" t="str">
        <f t="shared" ref="P11:P13" si="6">P10</f>
        <v>PT-01</v>
      </c>
      <c r="Q11" s="64" t="s">
        <v>12</v>
      </c>
      <c r="R11" s="90"/>
      <c r="S11" s="88"/>
    </row>
    <row r="12" spans="2:19" ht="30" customHeight="1" x14ac:dyDescent="0.25">
      <c r="B12" s="88">
        <f>B10+1</f>
        <v>3</v>
      </c>
      <c r="C12" s="159" t="s">
        <v>125</v>
      </c>
      <c r="D12" s="159" t="s">
        <v>195</v>
      </c>
      <c r="E12" s="77">
        <v>5</v>
      </c>
      <c r="F12" s="77">
        <v>0</v>
      </c>
      <c r="G12" s="69" t="str">
        <f t="shared" si="1"/>
        <v>1T0500</v>
      </c>
      <c r="H12" s="65">
        <f t="shared" ref="H12" si="7">H11+2</f>
        <v>7</v>
      </c>
      <c r="I12" s="65" t="str">
        <f t="shared" ref="I12:I13" si="8">CONCATENATE(H12,"-",G12,"/",K12,"-",L12)</f>
        <v>7-1T0500/*-*</v>
      </c>
      <c r="J12" s="65" t="str">
        <f t="shared" ref="J12:J13" si="9">CONCATENATE(K12,"-",L12,"/",G12,"-",H12)</f>
        <v>*-*/1T0500-7</v>
      </c>
      <c r="K12" s="65" t="s">
        <v>33</v>
      </c>
      <c r="L12" s="65" t="s">
        <v>33</v>
      </c>
      <c r="M12" s="65" t="str">
        <f t="shared" ref="M12:M13" si="10">CONCATENATE(K12,"-",L12,"/",P12,Q12)</f>
        <v>*-*/PT-02(+)</v>
      </c>
      <c r="N12" s="159" t="str">
        <f t="shared" si="0"/>
        <v>2P x 1.0 SQ. MM</v>
      </c>
      <c r="O12" s="65" t="str">
        <f t="shared" ref="O12:O13" si="11">CONCATENATE(P12,Q12,"/",K12,"-",L12)</f>
        <v>PT-02(+)/*-*</v>
      </c>
      <c r="P12" s="64" t="str">
        <f>C12</f>
        <v>PT-02</v>
      </c>
      <c r="Q12" s="64" t="s">
        <v>11</v>
      </c>
      <c r="R12" s="90" t="s">
        <v>137</v>
      </c>
      <c r="S12" s="88"/>
    </row>
    <row r="13" spans="2:19" ht="30" customHeight="1" x14ac:dyDescent="0.25">
      <c r="B13" s="88"/>
      <c r="C13" s="159"/>
      <c r="D13" s="159"/>
      <c r="E13" s="77">
        <v>5</v>
      </c>
      <c r="F13" s="77">
        <v>0</v>
      </c>
      <c r="G13" s="69" t="str">
        <f t="shared" si="1"/>
        <v>1T0500</v>
      </c>
      <c r="H13" s="65">
        <f t="shared" ref="H13" si="12">H12+1</f>
        <v>8</v>
      </c>
      <c r="I13" s="65" t="str">
        <f t="shared" si="8"/>
        <v>8-1T0500/*-*</v>
      </c>
      <c r="J13" s="65" t="str">
        <f t="shared" si="9"/>
        <v>*-*/1T0500-8</v>
      </c>
      <c r="K13" s="65" t="s">
        <v>33</v>
      </c>
      <c r="L13" s="65" t="s">
        <v>33</v>
      </c>
      <c r="M13" s="65" t="str">
        <f t="shared" si="10"/>
        <v>*-*/PT-02(-)</v>
      </c>
      <c r="N13" s="159"/>
      <c r="O13" s="65" t="str">
        <f t="shared" si="11"/>
        <v>PT-02(-)/*-*</v>
      </c>
      <c r="P13" s="64" t="str">
        <f t="shared" si="6"/>
        <v>PT-02</v>
      </c>
      <c r="Q13" s="64" t="s">
        <v>12</v>
      </c>
      <c r="R13" s="90"/>
      <c r="S13" s="88"/>
    </row>
    <row r="14" spans="2:19" ht="30" customHeight="1" x14ac:dyDescent="0.25">
      <c r="B14" s="88">
        <f>B12+1</f>
        <v>4</v>
      </c>
      <c r="C14" s="159" t="s">
        <v>126</v>
      </c>
      <c r="D14" s="159" t="s">
        <v>195</v>
      </c>
      <c r="E14" s="77">
        <v>5</v>
      </c>
      <c r="F14" s="77">
        <v>0</v>
      </c>
      <c r="G14" s="69" t="str">
        <f t="shared" si="1"/>
        <v>1T0500</v>
      </c>
      <c r="H14" s="65">
        <f t="shared" ref="H14" si="13">H13+2</f>
        <v>10</v>
      </c>
      <c r="I14" s="65" t="str">
        <f t="shared" si="2"/>
        <v>10-1T0500/*-*</v>
      </c>
      <c r="J14" s="65" t="str">
        <f t="shared" si="3"/>
        <v>*-*/1T0500-10</v>
      </c>
      <c r="K14" s="65" t="s">
        <v>33</v>
      </c>
      <c r="L14" s="65" t="s">
        <v>33</v>
      </c>
      <c r="M14" s="65" t="str">
        <f t="shared" si="4"/>
        <v>*-*/PT-03(+)</v>
      </c>
      <c r="N14" s="159" t="str">
        <f t="shared" si="0"/>
        <v>2P x 1.0 SQ. MM</v>
      </c>
      <c r="O14" s="65" t="str">
        <f t="shared" ref="O14:O15" si="14">CONCATENATE(P14,Q14,"/",K14,"-",L14)</f>
        <v>PT-03(+)/*-*</v>
      </c>
      <c r="P14" s="64" t="str">
        <f>C14</f>
        <v>PT-03</v>
      </c>
      <c r="Q14" s="64" t="s">
        <v>11</v>
      </c>
      <c r="R14" s="90" t="s">
        <v>138</v>
      </c>
      <c r="S14" s="88"/>
    </row>
    <row r="15" spans="2:19" ht="30" customHeight="1" x14ac:dyDescent="0.25">
      <c r="B15" s="88"/>
      <c r="C15" s="159"/>
      <c r="D15" s="159"/>
      <c r="E15" s="77">
        <v>5</v>
      </c>
      <c r="F15" s="77">
        <v>0</v>
      </c>
      <c r="G15" s="69" t="str">
        <f t="shared" si="1"/>
        <v>1T0500</v>
      </c>
      <c r="H15" s="65">
        <f t="shared" ref="H15" si="15">H14+1</f>
        <v>11</v>
      </c>
      <c r="I15" s="65" t="str">
        <f t="shared" si="2"/>
        <v>11-1T0500/*-*</v>
      </c>
      <c r="J15" s="65" t="str">
        <f t="shared" si="3"/>
        <v>*-*/1T0500-11</v>
      </c>
      <c r="K15" s="65" t="s">
        <v>33</v>
      </c>
      <c r="L15" s="65" t="s">
        <v>33</v>
      </c>
      <c r="M15" s="65" t="str">
        <f t="shared" si="4"/>
        <v>*-*/PT-03(-)</v>
      </c>
      <c r="N15" s="159"/>
      <c r="O15" s="65" t="str">
        <f t="shared" si="14"/>
        <v>PT-03(-)/*-*</v>
      </c>
      <c r="P15" s="64" t="str">
        <f t="shared" ref="P15" si="16">P14</f>
        <v>PT-03</v>
      </c>
      <c r="Q15" s="64" t="s">
        <v>12</v>
      </c>
      <c r="R15" s="90"/>
      <c r="S15" s="88"/>
    </row>
    <row r="16" spans="2:19" ht="30" customHeight="1" x14ac:dyDescent="0.25">
      <c r="B16" s="88">
        <f t="shared" ref="B16" si="17">B14+1</f>
        <v>5</v>
      </c>
      <c r="C16" s="159" t="s">
        <v>127</v>
      </c>
      <c r="D16" s="159" t="s">
        <v>195</v>
      </c>
      <c r="E16" s="77">
        <v>5</v>
      </c>
      <c r="F16" s="77">
        <v>0</v>
      </c>
      <c r="G16" s="69" t="str">
        <f t="shared" si="1"/>
        <v>1T0500</v>
      </c>
      <c r="H16" s="65">
        <f t="shared" ref="H16" si="18">H15+2</f>
        <v>13</v>
      </c>
      <c r="I16" s="65" t="str">
        <f t="shared" si="2"/>
        <v>13-1T0500/*-*</v>
      </c>
      <c r="J16" s="65" t="str">
        <f t="shared" si="3"/>
        <v>*-*/1T0500-13</v>
      </c>
      <c r="K16" s="65" t="s">
        <v>33</v>
      </c>
      <c r="L16" s="65" t="s">
        <v>33</v>
      </c>
      <c r="M16" s="65" t="str">
        <f t="shared" si="4"/>
        <v>*-*/PT-04(+)</v>
      </c>
      <c r="N16" s="159" t="str">
        <f t="shared" si="0"/>
        <v>2P x 1.0 SQ. MM</v>
      </c>
      <c r="O16" s="65" t="str">
        <f t="shared" ref="O16:O17" si="19">CONCATENATE(P16,Q16,"/",K16,"-",L16)</f>
        <v>PT-04(+)/*-*</v>
      </c>
      <c r="P16" s="64" t="str">
        <f>C16</f>
        <v>PT-04</v>
      </c>
      <c r="Q16" s="64" t="s">
        <v>11</v>
      </c>
      <c r="R16" s="90" t="s">
        <v>139</v>
      </c>
      <c r="S16" s="88"/>
    </row>
    <row r="17" spans="2:19" ht="30" customHeight="1" x14ac:dyDescent="0.25">
      <c r="B17" s="88"/>
      <c r="C17" s="159"/>
      <c r="D17" s="159"/>
      <c r="E17" s="77">
        <v>5</v>
      </c>
      <c r="F17" s="77">
        <v>0</v>
      </c>
      <c r="G17" s="69" t="str">
        <f t="shared" si="1"/>
        <v>1T0500</v>
      </c>
      <c r="H17" s="65">
        <f t="shared" ref="H17" si="20">H16+1</f>
        <v>14</v>
      </c>
      <c r="I17" s="65" t="str">
        <f t="shared" si="2"/>
        <v>14-1T0500/*-*</v>
      </c>
      <c r="J17" s="65" t="str">
        <f t="shared" si="3"/>
        <v>*-*/1T0500-14</v>
      </c>
      <c r="K17" s="65" t="s">
        <v>33</v>
      </c>
      <c r="L17" s="65" t="s">
        <v>33</v>
      </c>
      <c r="M17" s="65" t="str">
        <f t="shared" si="4"/>
        <v>*-*/PT-04(-)</v>
      </c>
      <c r="N17" s="159"/>
      <c r="O17" s="65" t="str">
        <f t="shared" si="19"/>
        <v>PT-04(-)/*-*</v>
      </c>
      <c r="P17" s="64" t="str">
        <f t="shared" ref="P17" si="21">P16</f>
        <v>PT-04</v>
      </c>
      <c r="Q17" s="64" t="s">
        <v>12</v>
      </c>
      <c r="R17" s="90"/>
      <c r="S17" s="88"/>
    </row>
    <row r="18" spans="2:19" ht="30" customHeight="1" x14ac:dyDescent="0.25">
      <c r="B18" s="88">
        <f t="shared" ref="B18" si="22">B16+1</f>
        <v>6</v>
      </c>
      <c r="C18" s="159" t="s">
        <v>128</v>
      </c>
      <c r="D18" s="159" t="s">
        <v>195</v>
      </c>
      <c r="E18" s="77">
        <v>5</v>
      </c>
      <c r="F18" s="77">
        <v>0</v>
      </c>
      <c r="G18" s="69" t="str">
        <f t="shared" si="1"/>
        <v>1T0500</v>
      </c>
      <c r="H18" s="65">
        <f t="shared" ref="H18" si="23">H17+2</f>
        <v>16</v>
      </c>
      <c r="I18" s="65" t="str">
        <f t="shared" si="2"/>
        <v>16-1T0500/*-*</v>
      </c>
      <c r="J18" s="65" t="str">
        <f t="shared" si="3"/>
        <v>*-*/1T0500-16</v>
      </c>
      <c r="K18" s="65" t="s">
        <v>33</v>
      </c>
      <c r="L18" s="65" t="s">
        <v>33</v>
      </c>
      <c r="M18" s="65" t="str">
        <f t="shared" si="4"/>
        <v>*-*/PT-05(+)</v>
      </c>
      <c r="N18" s="159" t="str">
        <f t="shared" si="0"/>
        <v>2P x 1.0 SQ. MM</v>
      </c>
      <c r="O18" s="65" t="str">
        <f t="shared" ref="O18:O19" si="24">CONCATENATE(P18,Q18,"/",K18,"-",L18)</f>
        <v>PT-05(+)/*-*</v>
      </c>
      <c r="P18" s="64" t="str">
        <f>C18</f>
        <v>PT-05</v>
      </c>
      <c r="Q18" s="64" t="s">
        <v>11</v>
      </c>
      <c r="R18" s="90" t="s">
        <v>140</v>
      </c>
      <c r="S18" s="88"/>
    </row>
    <row r="19" spans="2:19" ht="30" customHeight="1" x14ac:dyDescent="0.25">
      <c r="B19" s="88"/>
      <c r="C19" s="159"/>
      <c r="D19" s="159"/>
      <c r="E19" s="77">
        <v>5</v>
      </c>
      <c r="F19" s="77">
        <v>0</v>
      </c>
      <c r="G19" s="69" t="str">
        <f t="shared" si="1"/>
        <v>1T0500</v>
      </c>
      <c r="H19" s="65">
        <f t="shared" ref="H19" si="25">H18+1</f>
        <v>17</v>
      </c>
      <c r="I19" s="65" t="str">
        <f t="shared" si="2"/>
        <v>17-1T0500/*-*</v>
      </c>
      <c r="J19" s="65" t="str">
        <f t="shared" si="3"/>
        <v>*-*/1T0500-17</v>
      </c>
      <c r="K19" s="65" t="s">
        <v>33</v>
      </c>
      <c r="L19" s="65" t="s">
        <v>33</v>
      </c>
      <c r="M19" s="65" t="str">
        <f t="shared" si="4"/>
        <v>*-*/PT-05(-)</v>
      </c>
      <c r="N19" s="159"/>
      <c r="O19" s="65" t="str">
        <f t="shared" si="24"/>
        <v>PT-05(-)/*-*</v>
      </c>
      <c r="P19" s="64" t="str">
        <f t="shared" ref="P19" si="26">P18</f>
        <v>PT-05</v>
      </c>
      <c r="Q19" s="64" t="s">
        <v>12</v>
      </c>
      <c r="R19" s="90"/>
      <c r="S19" s="88"/>
    </row>
    <row r="20" spans="2:19" ht="30" customHeight="1" x14ac:dyDescent="0.25">
      <c r="B20" s="88">
        <f t="shared" ref="B20" si="27">B18+1</f>
        <v>7</v>
      </c>
      <c r="C20" s="159" t="s">
        <v>129</v>
      </c>
      <c r="D20" s="159" t="s">
        <v>195</v>
      </c>
      <c r="E20" s="77">
        <v>5</v>
      </c>
      <c r="F20" s="77">
        <v>1</v>
      </c>
      <c r="G20" s="69" t="str">
        <f t="shared" si="1"/>
        <v>1T0501</v>
      </c>
      <c r="H20" s="65">
        <v>1</v>
      </c>
      <c r="I20" s="65" t="str">
        <f t="shared" si="2"/>
        <v>1-1T0501/*-*</v>
      </c>
      <c r="J20" s="65" t="str">
        <f t="shared" si="3"/>
        <v>*-*/1T0501-1</v>
      </c>
      <c r="K20" s="65" t="s">
        <v>33</v>
      </c>
      <c r="L20" s="65" t="s">
        <v>33</v>
      </c>
      <c r="M20" s="65" t="str">
        <f t="shared" si="4"/>
        <v>*-*/PT-06(+)</v>
      </c>
      <c r="N20" s="159" t="str">
        <f t="shared" si="0"/>
        <v>2P x 1.0 SQ. MM</v>
      </c>
      <c r="O20" s="65" t="str">
        <f t="shared" ref="O20:O21" si="28">CONCATENATE(P20,Q20,"/",K20,"-",L20)</f>
        <v>PT-06(+)/*-*</v>
      </c>
      <c r="P20" s="64" t="str">
        <f>C20</f>
        <v>PT-06</v>
      </c>
      <c r="Q20" s="64" t="s">
        <v>11</v>
      </c>
      <c r="R20" s="90" t="s">
        <v>141</v>
      </c>
      <c r="S20" s="88"/>
    </row>
    <row r="21" spans="2:19" ht="30" customHeight="1" x14ac:dyDescent="0.25">
      <c r="B21" s="88"/>
      <c r="C21" s="159"/>
      <c r="D21" s="159"/>
      <c r="E21" s="77">
        <v>5</v>
      </c>
      <c r="F21" s="77">
        <v>1</v>
      </c>
      <c r="G21" s="69" t="str">
        <f t="shared" si="1"/>
        <v>1T0501</v>
      </c>
      <c r="H21" s="65">
        <f>H20+1</f>
        <v>2</v>
      </c>
      <c r="I21" s="65" t="str">
        <f t="shared" si="2"/>
        <v>2-1T0501/*-*</v>
      </c>
      <c r="J21" s="65" t="str">
        <f t="shared" si="3"/>
        <v>*-*/1T0501-2</v>
      </c>
      <c r="K21" s="65" t="s">
        <v>33</v>
      </c>
      <c r="L21" s="65" t="s">
        <v>33</v>
      </c>
      <c r="M21" s="65" t="str">
        <f t="shared" si="4"/>
        <v>*-*/PT-06(-)</v>
      </c>
      <c r="N21" s="159"/>
      <c r="O21" s="65" t="str">
        <f t="shared" si="28"/>
        <v>PT-06(-)/*-*</v>
      </c>
      <c r="P21" s="64" t="str">
        <f t="shared" ref="P21" si="29">P20</f>
        <v>PT-06</v>
      </c>
      <c r="Q21" s="64" t="s">
        <v>12</v>
      </c>
      <c r="R21" s="90"/>
      <c r="S21" s="88"/>
    </row>
    <row r="22" spans="2:19" ht="30" customHeight="1" x14ac:dyDescent="0.25">
      <c r="B22" s="88">
        <f t="shared" ref="B22" si="30">B20+1</f>
        <v>8</v>
      </c>
      <c r="C22" s="159" t="s">
        <v>130</v>
      </c>
      <c r="D22" s="159" t="s">
        <v>195</v>
      </c>
      <c r="E22" s="77">
        <v>5</v>
      </c>
      <c r="F22" s="77">
        <v>1</v>
      </c>
      <c r="G22" s="69" t="str">
        <f t="shared" si="1"/>
        <v>1T0501</v>
      </c>
      <c r="H22" s="65">
        <f>H21+2</f>
        <v>4</v>
      </c>
      <c r="I22" s="65" t="str">
        <f t="shared" si="2"/>
        <v>4-1T0501/*-*</v>
      </c>
      <c r="J22" s="65" t="str">
        <f t="shared" si="3"/>
        <v>*-*/1T0501-4</v>
      </c>
      <c r="K22" s="65" t="s">
        <v>33</v>
      </c>
      <c r="L22" s="65" t="s">
        <v>33</v>
      </c>
      <c r="M22" s="65" t="str">
        <f t="shared" si="4"/>
        <v>*-*/PT-07(+)</v>
      </c>
      <c r="N22" s="159" t="str">
        <f t="shared" si="0"/>
        <v>2P x 1.0 SQ. MM</v>
      </c>
      <c r="O22" s="65" t="str">
        <f t="shared" ref="O22:O23" si="31">CONCATENATE(P22,Q22,"/",K22,"-",L22)</f>
        <v>PT-07(+)/*-*</v>
      </c>
      <c r="P22" s="64" t="str">
        <f>C22</f>
        <v>PT-07</v>
      </c>
      <c r="Q22" s="64" t="s">
        <v>11</v>
      </c>
      <c r="R22" s="90" t="s">
        <v>142</v>
      </c>
      <c r="S22" s="88"/>
    </row>
    <row r="23" spans="2:19" ht="30" customHeight="1" x14ac:dyDescent="0.25">
      <c r="B23" s="88"/>
      <c r="C23" s="159"/>
      <c r="D23" s="159"/>
      <c r="E23" s="77">
        <v>5</v>
      </c>
      <c r="F23" s="77">
        <v>1</v>
      </c>
      <c r="G23" s="69" t="str">
        <f t="shared" si="1"/>
        <v>1T0501</v>
      </c>
      <c r="H23" s="65">
        <f>H22+1</f>
        <v>5</v>
      </c>
      <c r="I23" s="65" t="str">
        <f t="shared" si="2"/>
        <v>5-1T0501/*-*</v>
      </c>
      <c r="J23" s="65" t="str">
        <f t="shared" si="3"/>
        <v>*-*/1T0501-5</v>
      </c>
      <c r="K23" s="65" t="s">
        <v>33</v>
      </c>
      <c r="L23" s="65" t="s">
        <v>33</v>
      </c>
      <c r="M23" s="65" t="str">
        <f t="shared" si="4"/>
        <v>*-*/PT-07(-)</v>
      </c>
      <c r="N23" s="159"/>
      <c r="O23" s="65" t="str">
        <f t="shared" si="31"/>
        <v>PT-07(-)/*-*</v>
      </c>
      <c r="P23" s="64" t="str">
        <f t="shared" ref="P23" si="32">P22</f>
        <v>PT-07</v>
      </c>
      <c r="Q23" s="64" t="s">
        <v>12</v>
      </c>
      <c r="R23" s="90"/>
      <c r="S23" s="88"/>
    </row>
    <row r="24" spans="2:19" ht="30" customHeight="1" x14ac:dyDescent="0.25">
      <c r="B24" s="88">
        <f t="shared" ref="B24" si="33">B22+1</f>
        <v>9</v>
      </c>
      <c r="C24" s="159" t="s">
        <v>131</v>
      </c>
      <c r="D24" s="159" t="s">
        <v>195</v>
      </c>
      <c r="E24" s="77">
        <v>5</v>
      </c>
      <c r="F24" s="77">
        <v>1</v>
      </c>
      <c r="G24" s="69" t="str">
        <f t="shared" si="1"/>
        <v>1T0501</v>
      </c>
      <c r="H24" s="65">
        <f t="shared" ref="H24" si="34">H23+2</f>
        <v>7</v>
      </c>
      <c r="I24" s="65" t="str">
        <f t="shared" si="2"/>
        <v>7-1T0501/*-*</v>
      </c>
      <c r="J24" s="65" t="str">
        <f t="shared" si="3"/>
        <v>*-*/1T0501-7</v>
      </c>
      <c r="K24" s="65" t="s">
        <v>33</v>
      </c>
      <c r="L24" s="65" t="s">
        <v>33</v>
      </c>
      <c r="M24" s="65" t="str">
        <f t="shared" si="4"/>
        <v>*-*/PT-08(+)</v>
      </c>
      <c r="N24" s="159" t="str">
        <f t="shared" si="0"/>
        <v>2P x 1.0 SQ. MM</v>
      </c>
      <c r="O24" s="65" t="str">
        <f t="shared" ref="O24:O25" si="35">CONCATENATE(P24,Q24,"/",K24,"-",L24)</f>
        <v>PT-08(+)/*-*</v>
      </c>
      <c r="P24" s="64" t="str">
        <f>C24</f>
        <v>PT-08</v>
      </c>
      <c r="Q24" s="64" t="s">
        <v>11</v>
      </c>
      <c r="R24" s="90" t="s">
        <v>143</v>
      </c>
      <c r="S24" s="88"/>
    </row>
    <row r="25" spans="2:19" ht="30" customHeight="1" x14ac:dyDescent="0.25">
      <c r="B25" s="88"/>
      <c r="C25" s="159"/>
      <c r="D25" s="159"/>
      <c r="E25" s="77">
        <v>5</v>
      </c>
      <c r="F25" s="77">
        <v>1</v>
      </c>
      <c r="G25" s="69" t="str">
        <f t="shared" si="1"/>
        <v>1T0501</v>
      </c>
      <c r="H25" s="65">
        <f t="shared" ref="H25" si="36">H24+1</f>
        <v>8</v>
      </c>
      <c r="I25" s="65" t="str">
        <f t="shared" si="2"/>
        <v>8-1T0501/*-*</v>
      </c>
      <c r="J25" s="65" t="str">
        <f t="shared" si="3"/>
        <v>*-*/1T0501-8</v>
      </c>
      <c r="K25" s="65" t="s">
        <v>33</v>
      </c>
      <c r="L25" s="65" t="s">
        <v>33</v>
      </c>
      <c r="M25" s="65" t="str">
        <f t="shared" si="4"/>
        <v>*-*/PT-08(-)</v>
      </c>
      <c r="N25" s="159"/>
      <c r="O25" s="65" t="str">
        <f t="shared" si="35"/>
        <v>PT-08(-)/*-*</v>
      </c>
      <c r="P25" s="64" t="str">
        <f t="shared" ref="P25:P31" si="37">P24</f>
        <v>PT-08</v>
      </c>
      <c r="Q25" s="64" t="s">
        <v>12</v>
      </c>
      <c r="R25" s="90"/>
      <c r="S25" s="88"/>
    </row>
    <row r="26" spans="2:19" ht="30" customHeight="1" x14ac:dyDescent="0.25">
      <c r="B26" s="88">
        <f t="shared" ref="B26:B30" si="38">B24+1</f>
        <v>10</v>
      </c>
      <c r="C26" s="159" t="s">
        <v>132</v>
      </c>
      <c r="D26" s="159" t="s">
        <v>195</v>
      </c>
      <c r="E26" s="77">
        <v>5</v>
      </c>
      <c r="F26" s="77">
        <v>1</v>
      </c>
      <c r="G26" s="69" t="str">
        <f t="shared" si="1"/>
        <v>1T0501</v>
      </c>
      <c r="H26" s="65">
        <f t="shared" ref="H26" si="39">H25+2</f>
        <v>10</v>
      </c>
      <c r="I26" s="65" t="str">
        <f t="shared" si="2"/>
        <v>10-1T0501/*-*</v>
      </c>
      <c r="J26" s="65" t="str">
        <f t="shared" si="3"/>
        <v>*-*/1T0501-10</v>
      </c>
      <c r="K26" s="65" t="s">
        <v>33</v>
      </c>
      <c r="L26" s="65" t="s">
        <v>33</v>
      </c>
      <c r="M26" s="65" t="str">
        <f t="shared" si="4"/>
        <v>*-*/PT-09(+)</v>
      </c>
      <c r="N26" s="159" t="str">
        <f t="shared" si="0"/>
        <v>2P x 1.0 SQ. MM</v>
      </c>
      <c r="O26" s="65" t="str">
        <f t="shared" ref="O26:O27" si="40">CONCATENATE(P26,Q26,"/",K26,"-",L26)</f>
        <v>PT-09(+)/*-*</v>
      </c>
      <c r="P26" s="64" t="str">
        <f>C26</f>
        <v>PT-09</v>
      </c>
      <c r="Q26" s="64" t="s">
        <v>11</v>
      </c>
      <c r="R26" s="90" t="s">
        <v>144</v>
      </c>
      <c r="S26" s="88"/>
    </row>
    <row r="27" spans="2:19" ht="30" customHeight="1" x14ac:dyDescent="0.25">
      <c r="B27" s="88"/>
      <c r="C27" s="159"/>
      <c r="D27" s="159"/>
      <c r="E27" s="77">
        <v>5</v>
      </c>
      <c r="F27" s="77">
        <v>1</v>
      </c>
      <c r="G27" s="69" t="str">
        <f t="shared" si="1"/>
        <v>1T0501</v>
      </c>
      <c r="H27" s="65">
        <f t="shared" ref="H27" si="41">H26+1</f>
        <v>11</v>
      </c>
      <c r="I27" s="65" t="str">
        <f t="shared" si="2"/>
        <v>11-1T0501/*-*</v>
      </c>
      <c r="J27" s="65" t="str">
        <f t="shared" si="3"/>
        <v>*-*/1T0501-11</v>
      </c>
      <c r="K27" s="65" t="s">
        <v>33</v>
      </c>
      <c r="L27" s="65" t="s">
        <v>33</v>
      </c>
      <c r="M27" s="65" t="str">
        <f t="shared" si="4"/>
        <v>*-*/PT-09(-)</v>
      </c>
      <c r="N27" s="159"/>
      <c r="O27" s="65" t="str">
        <f t="shared" si="40"/>
        <v>PT-09(-)/*-*</v>
      </c>
      <c r="P27" s="64" t="str">
        <f t="shared" si="37"/>
        <v>PT-09</v>
      </c>
      <c r="Q27" s="64" t="s">
        <v>12</v>
      </c>
      <c r="R27" s="90"/>
      <c r="S27" s="88"/>
    </row>
    <row r="28" spans="2:19" ht="30" customHeight="1" x14ac:dyDescent="0.25">
      <c r="B28" s="88">
        <f t="shared" si="38"/>
        <v>11</v>
      </c>
      <c r="C28" s="159" t="s">
        <v>133</v>
      </c>
      <c r="D28" s="159" t="s">
        <v>195</v>
      </c>
      <c r="E28" s="77">
        <v>5</v>
      </c>
      <c r="F28" s="77">
        <v>1</v>
      </c>
      <c r="G28" s="69" t="str">
        <f t="shared" si="1"/>
        <v>1T0501</v>
      </c>
      <c r="H28" s="65">
        <f t="shared" ref="H28" si="42">H27+2</f>
        <v>13</v>
      </c>
      <c r="I28" s="65" t="str">
        <f t="shared" ref="I28:I31" si="43">CONCATENATE(H28,"-",G28,"/",K28,"-",L28)</f>
        <v>13-1T0501/*-*</v>
      </c>
      <c r="J28" s="65" t="str">
        <f t="shared" ref="J28:J31" si="44">CONCATENATE(K28,"-",L28,"/",G28,"-",H28)</f>
        <v>*-*/1T0501-13</v>
      </c>
      <c r="K28" s="65" t="s">
        <v>33</v>
      </c>
      <c r="L28" s="65" t="s">
        <v>33</v>
      </c>
      <c r="M28" s="65" t="str">
        <f t="shared" ref="M28:M31" si="45">CONCATENATE(K28,"-",L28,"/",P28,Q28)</f>
        <v>*-*/PT-10(+)</v>
      </c>
      <c r="N28" s="159" t="str">
        <f t="shared" si="0"/>
        <v>2P x 1.0 SQ. MM</v>
      </c>
      <c r="O28" s="65" t="str">
        <f t="shared" ref="O28:O31" si="46">CONCATENATE(P28,Q28,"/",K28,"-",L28)</f>
        <v>PT-10(+)/*-*</v>
      </c>
      <c r="P28" s="64" t="str">
        <f>C28</f>
        <v>PT-10</v>
      </c>
      <c r="Q28" s="64" t="s">
        <v>11</v>
      </c>
      <c r="R28" s="90" t="s">
        <v>145</v>
      </c>
      <c r="S28" s="88"/>
    </row>
    <row r="29" spans="2:19" ht="30" customHeight="1" x14ac:dyDescent="0.25">
      <c r="B29" s="88"/>
      <c r="C29" s="159"/>
      <c r="D29" s="159"/>
      <c r="E29" s="77">
        <v>5</v>
      </c>
      <c r="F29" s="77">
        <v>1</v>
      </c>
      <c r="G29" s="69" t="str">
        <f t="shared" si="1"/>
        <v>1T0501</v>
      </c>
      <c r="H29" s="65">
        <f t="shared" ref="H29" si="47">H28+1</f>
        <v>14</v>
      </c>
      <c r="I29" s="65" t="str">
        <f t="shared" si="43"/>
        <v>14-1T0501/*-*</v>
      </c>
      <c r="J29" s="65" t="str">
        <f t="shared" si="44"/>
        <v>*-*/1T0501-14</v>
      </c>
      <c r="K29" s="65" t="s">
        <v>33</v>
      </c>
      <c r="L29" s="65" t="s">
        <v>33</v>
      </c>
      <c r="M29" s="65" t="str">
        <f t="shared" si="45"/>
        <v>*-*/PT-10(-)</v>
      </c>
      <c r="N29" s="159"/>
      <c r="O29" s="65" t="str">
        <f t="shared" si="46"/>
        <v>PT-10(-)/*-*</v>
      </c>
      <c r="P29" s="64" t="str">
        <f t="shared" si="37"/>
        <v>PT-10</v>
      </c>
      <c r="Q29" s="64" t="s">
        <v>12</v>
      </c>
      <c r="R29" s="90"/>
      <c r="S29" s="88"/>
    </row>
    <row r="30" spans="2:19" ht="30" customHeight="1" x14ac:dyDescent="0.25">
      <c r="B30" s="88">
        <f t="shared" si="38"/>
        <v>12</v>
      </c>
      <c r="C30" s="159" t="s">
        <v>134</v>
      </c>
      <c r="D30" s="159" t="s">
        <v>195</v>
      </c>
      <c r="E30" s="77">
        <v>5</v>
      </c>
      <c r="F30" s="77">
        <v>1</v>
      </c>
      <c r="G30" s="69" t="str">
        <f t="shared" si="1"/>
        <v>1T0501</v>
      </c>
      <c r="H30" s="65">
        <f t="shared" ref="H30" si="48">H29+2</f>
        <v>16</v>
      </c>
      <c r="I30" s="65" t="str">
        <f t="shared" si="43"/>
        <v>16-1T0501/*-*</v>
      </c>
      <c r="J30" s="65" t="str">
        <f t="shared" si="44"/>
        <v>*-*/1T0501-16</v>
      </c>
      <c r="K30" s="65" t="s">
        <v>33</v>
      </c>
      <c r="L30" s="65" t="s">
        <v>33</v>
      </c>
      <c r="M30" s="65" t="str">
        <f t="shared" si="45"/>
        <v>*-*/FT-01(+)</v>
      </c>
      <c r="N30" s="159" t="str">
        <f t="shared" si="0"/>
        <v>2P x 1.0 SQ. MM</v>
      </c>
      <c r="O30" s="65" t="str">
        <f t="shared" si="46"/>
        <v>FT-01(+)/*-*</v>
      </c>
      <c r="P30" s="64" t="str">
        <f>C30</f>
        <v>FT-01</v>
      </c>
      <c r="Q30" s="64" t="s">
        <v>11</v>
      </c>
      <c r="R30" s="90" t="s">
        <v>146</v>
      </c>
      <c r="S30" s="88"/>
    </row>
    <row r="31" spans="2:19" ht="30" customHeight="1" x14ac:dyDescent="0.25">
      <c r="B31" s="88"/>
      <c r="C31" s="159"/>
      <c r="D31" s="159"/>
      <c r="E31" s="77">
        <v>5</v>
      </c>
      <c r="F31" s="77">
        <v>1</v>
      </c>
      <c r="G31" s="69" t="str">
        <f t="shared" si="1"/>
        <v>1T0501</v>
      </c>
      <c r="H31" s="65">
        <f t="shared" ref="H31" si="49">H30+1</f>
        <v>17</v>
      </c>
      <c r="I31" s="65" t="str">
        <f t="shared" si="43"/>
        <v>17-1T0501/*-*</v>
      </c>
      <c r="J31" s="65" t="str">
        <f t="shared" si="44"/>
        <v>*-*/1T0501-17</v>
      </c>
      <c r="K31" s="65" t="s">
        <v>33</v>
      </c>
      <c r="L31" s="65" t="s">
        <v>33</v>
      </c>
      <c r="M31" s="65" t="str">
        <f t="shared" si="45"/>
        <v>*-*/FT-01(-)</v>
      </c>
      <c r="N31" s="159"/>
      <c r="O31" s="65" t="str">
        <f t="shared" si="46"/>
        <v>FT-01(-)/*-*</v>
      </c>
      <c r="P31" s="64" t="str">
        <f t="shared" si="37"/>
        <v>FT-01</v>
      </c>
      <c r="Q31" s="64" t="s">
        <v>12</v>
      </c>
      <c r="R31" s="90"/>
      <c r="S31" s="88"/>
    </row>
    <row r="32" spans="2:19" ht="78" customHeight="1" x14ac:dyDescent="0.25">
      <c r="B32" s="90" t="s">
        <v>104</v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</row>
  </sheetData>
  <mergeCells count="93">
    <mergeCell ref="B32:S32"/>
    <mergeCell ref="S18:S19"/>
    <mergeCell ref="S20:S21"/>
    <mergeCell ref="S22:S23"/>
    <mergeCell ref="S24:S25"/>
    <mergeCell ref="S26:S27"/>
    <mergeCell ref="S28:S29"/>
    <mergeCell ref="S30:S31"/>
    <mergeCell ref="B30:B31"/>
    <mergeCell ref="C30:C31"/>
    <mergeCell ref="D30:D31"/>
    <mergeCell ref="N30:N31"/>
    <mergeCell ref="R30:R31"/>
    <mergeCell ref="R26:R27"/>
    <mergeCell ref="D24:D25"/>
    <mergeCell ref="D26:D27"/>
    <mergeCell ref="B24:B25"/>
    <mergeCell ref="C24:C25"/>
    <mergeCell ref="R24:R25"/>
    <mergeCell ref="B26:B27"/>
    <mergeCell ref="C26:C27"/>
    <mergeCell ref="N24:N25"/>
    <mergeCell ref="N26:N27"/>
    <mergeCell ref="C20:C21"/>
    <mergeCell ref="D22:D23"/>
    <mergeCell ref="N20:N21"/>
    <mergeCell ref="B22:B23"/>
    <mergeCell ref="B18:B19"/>
    <mergeCell ref="C18:C19"/>
    <mergeCell ref="N18:N19"/>
    <mergeCell ref="D20:D21"/>
    <mergeCell ref="B20:B21"/>
    <mergeCell ref="D18:D19"/>
    <mergeCell ref="S10:S11"/>
    <mergeCell ref="S12:S13"/>
    <mergeCell ref="S14:S15"/>
    <mergeCell ref="S16:S17"/>
    <mergeCell ref="C22:C23"/>
    <mergeCell ref="R22:R23"/>
    <mergeCell ref="N22:N23"/>
    <mergeCell ref="N10:N11"/>
    <mergeCell ref="N14:N15"/>
    <mergeCell ref="N16:N17"/>
    <mergeCell ref="R20:R21"/>
    <mergeCell ref="R18:R19"/>
    <mergeCell ref="R10:R11"/>
    <mergeCell ref="D14:D15"/>
    <mergeCell ref="D16:D17"/>
    <mergeCell ref="D10:D11"/>
    <mergeCell ref="I5:I6"/>
    <mergeCell ref="J5:J6"/>
    <mergeCell ref="K5:L5"/>
    <mergeCell ref="S5:S6"/>
    <mergeCell ref="M5:M6"/>
    <mergeCell ref="B7:S7"/>
    <mergeCell ref="B8:B9"/>
    <mergeCell ref="C8:C9"/>
    <mergeCell ref="R8:R9"/>
    <mergeCell ref="N8:N9"/>
    <mergeCell ref="S8:S9"/>
    <mergeCell ref="D8:D9"/>
    <mergeCell ref="C10:C11"/>
    <mergeCell ref="B12:B13"/>
    <mergeCell ref="P2:S2"/>
    <mergeCell ref="P3:S3"/>
    <mergeCell ref="O5:O6"/>
    <mergeCell ref="B5:B6"/>
    <mergeCell ref="C5:H5"/>
    <mergeCell ref="B4:H4"/>
    <mergeCell ref="I4:O4"/>
    <mergeCell ref="I2:O2"/>
    <mergeCell ref="I3:O3"/>
    <mergeCell ref="C3:H3"/>
    <mergeCell ref="B2:H2"/>
    <mergeCell ref="D12:D13"/>
    <mergeCell ref="N5:N6"/>
    <mergeCell ref="P5:R5"/>
    <mergeCell ref="Q4:S4"/>
    <mergeCell ref="R12:R13"/>
    <mergeCell ref="B28:B29"/>
    <mergeCell ref="C28:C29"/>
    <mergeCell ref="D28:D29"/>
    <mergeCell ref="N28:N29"/>
    <mergeCell ref="R28:R29"/>
    <mergeCell ref="B14:B15"/>
    <mergeCell ref="B16:B17"/>
    <mergeCell ref="C16:C17"/>
    <mergeCell ref="C14:C15"/>
    <mergeCell ref="R16:R17"/>
    <mergeCell ref="R14:R15"/>
    <mergeCell ref="N12:N13"/>
    <mergeCell ref="C12:C13"/>
    <mergeCell ref="B10:B11"/>
  </mergeCells>
  <phoneticPr fontId="6" type="noConversion"/>
  <printOptions horizontalCentered="1"/>
  <pageMargins left="0.25" right="0.25" top="0.75" bottom="0.75" header="0.3" footer="0.3"/>
  <pageSetup paperSize="8" scale="37" fitToHeight="0" orientation="landscape" r:id="rId1"/>
  <headerFooter>
    <oddFooter>&amp;L&amp;1#&amp;"Calibri,Regular"&amp;8&amp;K000000Sensitivity: LNT Construction Internal Use&amp;CPage &amp;P-1 of &amp;N-1&amp;R&amp;8Designed by: GP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B2:T18"/>
  <sheetViews>
    <sheetView view="pageBreakPreview" zoomScale="40" zoomScaleNormal="85" zoomScaleSheetLayoutView="40" workbookViewId="0"/>
  </sheetViews>
  <sheetFormatPr defaultRowHeight="13.2" x14ac:dyDescent="0.25"/>
  <cols>
    <col min="1" max="1" width="2.77734375" customWidth="1"/>
    <col min="2" max="2" width="14.88671875" bestFit="1" customWidth="1"/>
    <col min="3" max="3" width="26.5546875" bestFit="1" customWidth="1"/>
    <col min="4" max="4" width="40.77734375" customWidth="1"/>
    <col min="5" max="5" width="17.21875" customWidth="1"/>
    <col min="6" max="6" width="16.33203125" customWidth="1"/>
    <col min="7" max="7" width="17.5546875" customWidth="1"/>
    <col min="8" max="8" width="20.109375" customWidth="1"/>
    <col min="9" max="9" width="20.109375" bestFit="1" customWidth="1"/>
    <col min="10" max="10" width="49.33203125" customWidth="1"/>
    <col min="11" max="11" width="19.33203125" bestFit="1" customWidth="1"/>
    <col min="12" max="12" width="21" bestFit="1" customWidth="1"/>
    <col min="13" max="13" width="17.88671875" bestFit="1" customWidth="1"/>
    <col min="14" max="14" width="22.33203125" bestFit="1" customWidth="1"/>
    <col min="15" max="15" width="31.5546875" customWidth="1"/>
    <col min="16" max="16" width="53" customWidth="1"/>
    <col min="17" max="17" width="25.44140625" style="9" customWidth="1"/>
    <col min="18" max="18" width="17.88671875" bestFit="1" customWidth="1"/>
    <col min="19" max="19" width="51.21875" customWidth="1"/>
    <col min="20" max="20" width="60.109375" customWidth="1"/>
  </cols>
  <sheetData>
    <row r="2" spans="2:20" ht="90" customHeight="1" x14ac:dyDescent="0.25">
      <c r="B2" s="82" t="s">
        <v>46</v>
      </c>
      <c r="C2" s="82"/>
      <c r="D2" s="82"/>
      <c r="E2" s="82"/>
      <c r="F2" s="82"/>
      <c r="G2" s="82"/>
      <c r="H2" s="82"/>
      <c r="I2" s="82"/>
      <c r="J2" s="82" t="str">
        <f>Cover!B54&amp;" "&amp;Cover!B55</f>
        <v>PROJECT: DESIGN AND CONSTRUCTION FOR DHANKI TO TOKRALA (UPTO NATIONAL HIGHWAY CROSSING) BULK PIPELINE 45 KMS INCLUDING CONSTRUCTION OF RCC U/G SUMP, PUMP HOUSE, SITC OF PUMPING MACHINERY AND ANCILLARY WORKS AT DHANKI PUMPING STATION WITH 10 YEARS COMPREHENSIVE OPERATION &amp; MAINTENANCE UNDER DHANKI TO NAVDA PIPELINE PROJECT (PACKAGE NO-1 NC 42)</v>
      </c>
      <c r="K2" s="82"/>
      <c r="L2" s="82"/>
      <c r="M2" s="82"/>
      <c r="N2" s="82"/>
      <c r="O2" s="82"/>
      <c r="P2" s="82"/>
      <c r="Q2" s="82" t="s">
        <v>0</v>
      </c>
      <c r="R2" s="82"/>
      <c r="S2" s="82"/>
      <c r="T2" s="82"/>
    </row>
    <row r="3" spans="2:20" ht="60" customHeight="1" x14ac:dyDescent="0.25">
      <c r="B3" s="61" t="s">
        <v>93</v>
      </c>
      <c r="C3" s="82" t="str">
        <f>Cover!$B$51</f>
        <v>GUJARAT WATER INFRASTRUCTURE LIMITED (GWIL), GANDHINAGAR</v>
      </c>
      <c r="D3" s="82"/>
      <c r="E3" s="82"/>
      <c r="F3" s="82"/>
      <c r="G3" s="82"/>
      <c r="H3" s="82"/>
      <c r="I3" s="82"/>
      <c r="J3" s="82" t="s">
        <v>119</v>
      </c>
      <c r="K3" s="82"/>
      <c r="L3" s="82"/>
      <c r="M3" s="82"/>
      <c r="N3" s="82"/>
      <c r="O3" s="82"/>
      <c r="P3" s="82"/>
      <c r="Q3" s="82" t="s">
        <v>1</v>
      </c>
      <c r="R3" s="82"/>
      <c r="S3" s="82"/>
      <c r="T3" s="82"/>
    </row>
    <row r="4" spans="2:20" ht="60" customHeight="1" x14ac:dyDescent="0.25">
      <c r="B4" s="85" t="s">
        <v>47</v>
      </c>
      <c r="C4" s="85"/>
      <c r="D4" s="85"/>
      <c r="E4" s="85"/>
      <c r="F4" s="85"/>
      <c r="G4" s="85"/>
      <c r="H4" s="85"/>
      <c r="I4" s="85"/>
      <c r="J4" s="84" t="str">
        <f>"DOCUMENT NO: "&amp;_xlfn.CONCAT(Cover!D65:AA65)</f>
        <v>DOCUMENT NO: LE22M232-I-WS-RW-CI-5010</v>
      </c>
      <c r="K4" s="84"/>
      <c r="L4" s="84"/>
      <c r="M4" s="84"/>
      <c r="N4" s="84"/>
      <c r="O4" s="84"/>
      <c r="P4" s="84"/>
      <c r="Q4" s="62" t="s">
        <v>98</v>
      </c>
      <c r="R4" s="167">
        <f>Cover!B45</f>
        <v>46023</v>
      </c>
      <c r="S4" s="168"/>
      <c r="T4" s="169"/>
    </row>
    <row r="5" spans="2:20" ht="30" customHeight="1" x14ac:dyDescent="0.25">
      <c r="B5" s="83" t="s">
        <v>32</v>
      </c>
      <c r="C5" s="84" t="s">
        <v>50</v>
      </c>
      <c r="D5" s="84"/>
      <c r="E5" s="84"/>
      <c r="F5" s="84"/>
      <c r="G5" s="84"/>
      <c r="H5" s="84"/>
      <c r="I5" s="84"/>
      <c r="J5" s="82" t="s">
        <v>107</v>
      </c>
      <c r="K5" s="82" t="s">
        <v>108</v>
      </c>
      <c r="L5" s="84" t="s">
        <v>2</v>
      </c>
      <c r="M5" s="84"/>
      <c r="N5" s="82" t="s">
        <v>109</v>
      </c>
      <c r="O5" s="83" t="s">
        <v>3</v>
      </c>
      <c r="P5" s="82" t="s">
        <v>110</v>
      </c>
      <c r="Q5" s="84" t="s">
        <v>53</v>
      </c>
      <c r="R5" s="84"/>
      <c r="S5" s="84"/>
      <c r="T5" s="83" t="s">
        <v>51</v>
      </c>
    </row>
    <row r="6" spans="2:20" ht="60" customHeight="1" x14ac:dyDescent="0.25">
      <c r="B6" s="83"/>
      <c r="C6" s="63" t="s">
        <v>4</v>
      </c>
      <c r="D6" s="63" t="s">
        <v>3</v>
      </c>
      <c r="E6" s="63" t="s">
        <v>37</v>
      </c>
      <c r="F6" s="76" t="s">
        <v>321</v>
      </c>
      <c r="G6" s="63" t="s">
        <v>322</v>
      </c>
      <c r="H6" s="63" t="s">
        <v>35</v>
      </c>
      <c r="I6" s="63" t="s">
        <v>36</v>
      </c>
      <c r="J6" s="82"/>
      <c r="K6" s="82"/>
      <c r="L6" s="63" t="s">
        <v>5</v>
      </c>
      <c r="M6" s="63" t="s">
        <v>6</v>
      </c>
      <c r="N6" s="84"/>
      <c r="O6" s="83"/>
      <c r="P6" s="84"/>
      <c r="Q6" s="63" t="s">
        <v>7</v>
      </c>
      <c r="R6" s="63" t="s">
        <v>6</v>
      </c>
      <c r="S6" s="63" t="s">
        <v>8</v>
      </c>
      <c r="T6" s="83"/>
    </row>
    <row r="7" spans="2:20" ht="30" customHeight="1" x14ac:dyDescent="0.25">
      <c r="B7" s="86" t="s">
        <v>38</v>
      </c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</row>
    <row r="8" spans="2:20" ht="30" customHeight="1" x14ac:dyDescent="0.25">
      <c r="B8" s="88" t="s">
        <v>10</v>
      </c>
      <c r="C8" s="87" t="s">
        <v>147</v>
      </c>
      <c r="D8" s="89" t="s">
        <v>329</v>
      </c>
      <c r="E8" s="67" t="s">
        <v>13</v>
      </c>
      <c r="F8" s="77">
        <v>1</v>
      </c>
      <c r="G8" s="77">
        <v>0</v>
      </c>
      <c r="H8" s="69" t="str">
        <f>"1T"&amp;TEXT(F8,"00")&amp;TEXT(G8,"00")</f>
        <v>1T0100</v>
      </c>
      <c r="I8" s="69">
        <v>1</v>
      </c>
      <c r="J8" s="65" t="str">
        <f>CONCATENATE(TEXT(F8,"00"),"-",TEXT(G8,"00"),"/",$Q$8,"-",R8)</f>
        <v>01-00/LS-01-NO</v>
      </c>
      <c r="K8" s="65" t="s">
        <v>33</v>
      </c>
      <c r="L8" s="65" t="s">
        <v>33</v>
      </c>
      <c r="M8" s="65" t="s">
        <v>33</v>
      </c>
      <c r="N8" s="65" t="s">
        <v>33</v>
      </c>
      <c r="O8" s="89" t="str">
        <f>_xlfn.TEXTBEFORE(D8,"(")</f>
        <v xml:space="preserve">10C x 1.0 SQ. MM
</v>
      </c>
      <c r="P8" s="65" t="str">
        <f>CONCATENATE($Q$8,R8,"/",TEXT(F8,"00"),"-",TEXT(G8,"00"))</f>
        <v>LS-01NO/01-00</v>
      </c>
      <c r="Q8" s="164" t="str">
        <f>C8</f>
        <v>LS-01</v>
      </c>
      <c r="R8" s="64" t="s">
        <v>39</v>
      </c>
      <c r="S8" s="159" t="s">
        <v>148</v>
      </c>
      <c r="T8" s="65" t="s">
        <v>196</v>
      </c>
    </row>
    <row r="9" spans="2:20" ht="30" customHeight="1" x14ac:dyDescent="0.25">
      <c r="B9" s="88"/>
      <c r="C9" s="87"/>
      <c r="D9" s="89"/>
      <c r="E9" s="67" t="s">
        <v>14</v>
      </c>
      <c r="F9" s="77">
        <v>1</v>
      </c>
      <c r="G9" s="77">
        <v>0</v>
      </c>
      <c r="H9" s="69" t="str">
        <f t="shared" ref="H9:H12" si="0">"1T"&amp;TEXT(F9,"00")&amp;TEXT(G9,"00")</f>
        <v>1T0100</v>
      </c>
      <c r="I9" s="69">
        <f>I8+2</f>
        <v>3</v>
      </c>
      <c r="J9" s="65" t="str">
        <f t="shared" ref="J9:J12" si="1">CONCATENATE(TEXT(F9,"00"),"-",TEXT(G9,"00"),"/",$Q$8,"-",R9)</f>
        <v>01-00/LS-01-NO</v>
      </c>
      <c r="K9" s="65" t="s">
        <v>33</v>
      </c>
      <c r="L9" s="65" t="s">
        <v>33</v>
      </c>
      <c r="M9" s="65" t="s">
        <v>33</v>
      </c>
      <c r="N9" s="65" t="s">
        <v>33</v>
      </c>
      <c r="O9" s="89"/>
      <c r="P9" s="65" t="str">
        <f>CONCATENATE($Q$8,R9,"/",TEXT(F9,"00"),"-",TEXT(G9,"00"))</f>
        <v>LS-01NO/01-00</v>
      </c>
      <c r="Q9" s="165"/>
      <c r="R9" s="64" t="s">
        <v>39</v>
      </c>
      <c r="S9" s="159"/>
      <c r="T9" s="65" t="s">
        <v>99</v>
      </c>
    </row>
    <row r="10" spans="2:20" ht="30" customHeight="1" x14ac:dyDescent="0.25">
      <c r="B10" s="88"/>
      <c r="C10" s="87"/>
      <c r="D10" s="89"/>
      <c r="E10" s="67" t="s">
        <v>15</v>
      </c>
      <c r="F10" s="77">
        <v>1</v>
      </c>
      <c r="G10" s="77">
        <v>0</v>
      </c>
      <c r="H10" s="69" t="str">
        <f t="shared" si="0"/>
        <v>1T0100</v>
      </c>
      <c r="I10" s="69">
        <f>I9+2</f>
        <v>5</v>
      </c>
      <c r="J10" s="65" t="str">
        <f t="shared" si="1"/>
        <v>01-00/LS-01-NO</v>
      </c>
      <c r="K10" s="65" t="s">
        <v>33</v>
      </c>
      <c r="L10" s="65" t="s">
        <v>33</v>
      </c>
      <c r="M10" s="65" t="s">
        <v>33</v>
      </c>
      <c r="N10" s="65" t="s">
        <v>33</v>
      </c>
      <c r="O10" s="89"/>
      <c r="P10" s="65" t="str">
        <f>CONCATENATE($Q$8,R10,"/",TEXT(F10,"00"),"-",TEXT(G10,"00"))</f>
        <v>LS-01NO/01-00</v>
      </c>
      <c r="Q10" s="165"/>
      <c r="R10" s="64" t="s">
        <v>39</v>
      </c>
      <c r="S10" s="159"/>
      <c r="T10" s="65" t="s">
        <v>100</v>
      </c>
    </row>
    <row r="11" spans="2:20" ht="30" customHeight="1" x14ac:dyDescent="0.25">
      <c r="B11" s="88"/>
      <c r="C11" s="87"/>
      <c r="D11" s="89"/>
      <c r="E11" s="67" t="s">
        <v>16</v>
      </c>
      <c r="F11" s="77">
        <v>1</v>
      </c>
      <c r="G11" s="77">
        <v>0</v>
      </c>
      <c r="H11" s="69" t="str">
        <f t="shared" si="0"/>
        <v>1T0100</v>
      </c>
      <c r="I11" s="69">
        <f>I10+2</f>
        <v>7</v>
      </c>
      <c r="J11" s="65" t="str">
        <f t="shared" si="1"/>
        <v>01-00/LS-01-NO</v>
      </c>
      <c r="K11" s="65" t="s">
        <v>33</v>
      </c>
      <c r="L11" s="65" t="s">
        <v>33</v>
      </c>
      <c r="M11" s="65" t="s">
        <v>33</v>
      </c>
      <c r="N11" s="65" t="s">
        <v>33</v>
      </c>
      <c r="O11" s="89"/>
      <c r="P11" s="65" t="str">
        <f>CONCATENATE($Q$8,R11,"/",TEXT(F11,"00"),"-",TEXT(G11,"00"))</f>
        <v>LS-01NO/01-00</v>
      </c>
      <c r="Q11" s="165"/>
      <c r="R11" s="64" t="s">
        <v>39</v>
      </c>
      <c r="S11" s="159"/>
      <c r="T11" s="65" t="s">
        <v>197</v>
      </c>
    </row>
    <row r="12" spans="2:20" ht="30" customHeight="1" x14ac:dyDescent="0.25">
      <c r="B12" s="88"/>
      <c r="C12" s="87"/>
      <c r="D12" s="89"/>
      <c r="E12" s="67" t="s">
        <v>17</v>
      </c>
      <c r="F12" s="77">
        <v>1</v>
      </c>
      <c r="G12" s="77">
        <v>0</v>
      </c>
      <c r="H12" s="69" t="str">
        <f t="shared" si="0"/>
        <v>1T0100</v>
      </c>
      <c r="I12" s="69">
        <f>I11+1</f>
        <v>8</v>
      </c>
      <c r="J12" s="65" t="str">
        <f t="shared" si="1"/>
        <v>01-00/LS-01-C</v>
      </c>
      <c r="K12" s="65" t="s">
        <v>33</v>
      </c>
      <c r="L12" s="65" t="s">
        <v>33</v>
      </c>
      <c r="M12" s="65" t="s">
        <v>33</v>
      </c>
      <c r="N12" s="65" t="s">
        <v>33</v>
      </c>
      <c r="O12" s="89"/>
      <c r="P12" s="65" t="str">
        <f>CONCATENATE($Q$8,R12,"/",TEXT(F12,"00"),"-",TEXT(G12,"00"))</f>
        <v>LS-01C/01-00</v>
      </c>
      <c r="Q12" s="165"/>
      <c r="R12" s="64" t="s">
        <v>40</v>
      </c>
      <c r="S12" s="159"/>
      <c r="T12" s="161" t="str">
        <f>UPPER("IN PLC SIDE, "&amp;H8&amp;": "&amp;I8+1&amp;", "&amp;H9&amp;": "&amp;I9+1&amp;", "&amp;H10&amp;": "&amp;I10+1&amp;" &amp; "&amp;H11&amp;": "&amp;I11+1&amp;" ARE ALREADY LOOPED TOGETHER")</f>
        <v>IN PLC SIDE, 1T0100: 2, 1T0100: 4, 1T0100: 6 &amp; 1T0100: 8 ARE ALREADY LOOPED TOGETHER</v>
      </c>
    </row>
    <row r="13" spans="2:20" ht="30" customHeight="1" x14ac:dyDescent="0.25">
      <c r="B13" s="88"/>
      <c r="C13" s="87"/>
      <c r="D13" s="89"/>
      <c r="E13" s="67" t="s">
        <v>18</v>
      </c>
      <c r="F13" s="77" t="s">
        <v>45</v>
      </c>
      <c r="G13" s="77" t="s">
        <v>45</v>
      </c>
      <c r="H13" s="69" t="s">
        <v>45</v>
      </c>
      <c r="I13" s="69" t="s">
        <v>45</v>
      </c>
      <c r="J13" s="65" t="s">
        <v>45</v>
      </c>
      <c r="K13" s="65" t="s">
        <v>45</v>
      </c>
      <c r="L13" s="65" t="s">
        <v>45</v>
      </c>
      <c r="M13" s="65" t="s">
        <v>45</v>
      </c>
      <c r="N13" s="65" t="s">
        <v>45</v>
      </c>
      <c r="O13" s="89"/>
      <c r="P13" s="65" t="s">
        <v>45</v>
      </c>
      <c r="Q13" s="165"/>
      <c r="R13" s="64" t="s">
        <v>45</v>
      </c>
      <c r="S13" s="159"/>
      <c r="T13" s="162"/>
    </row>
    <row r="14" spans="2:20" ht="30" customHeight="1" x14ac:dyDescent="0.25">
      <c r="B14" s="88"/>
      <c r="C14" s="87"/>
      <c r="D14" s="89"/>
      <c r="E14" s="67" t="s">
        <v>19</v>
      </c>
      <c r="F14" s="77" t="s">
        <v>45</v>
      </c>
      <c r="G14" s="77" t="s">
        <v>45</v>
      </c>
      <c r="H14" s="69" t="s">
        <v>45</v>
      </c>
      <c r="I14" s="69" t="s">
        <v>45</v>
      </c>
      <c r="J14" s="65" t="s">
        <v>45</v>
      </c>
      <c r="K14" s="65" t="s">
        <v>45</v>
      </c>
      <c r="L14" s="65" t="s">
        <v>45</v>
      </c>
      <c r="M14" s="65" t="s">
        <v>45</v>
      </c>
      <c r="N14" s="65" t="s">
        <v>45</v>
      </c>
      <c r="O14" s="89"/>
      <c r="P14" s="65" t="s">
        <v>45</v>
      </c>
      <c r="Q14" s="165"/>
      <c r="R14" s="64" t="s">
        <v>45</v>
      </c>
      <c r="S14" s="159"/>
      <c r="T14" s="162"/>
    </row>
    <row r="15" spans="2:20" ht="30" customHeight="1" x14ac:dyDescent="0.25">
      <c r="B15" s="88"/>
      <c r="C15" s="87"/>
      <c r="D15" s="89"/>
      <c r="E15" s="67" t="s">
        <v>20</v>
      </c>
      <c r="F15" s="77" t="s">
        <v>45</v>
      </c>
      <c r="G15" s="77" t="s">
        <v>45</v>
      </c>
      <c r="H15" s="69" t="s">
        <v>45</v>
      </c>
      <c r="I15" s="69" t="s">
        <v>45</v>
      </c>
      <c r="J15" s="65" t="s">
        <v>45</v>
      </c>
      <c r="K15" s="65" t="s">
        <v>45</v>
      </c>
      <c r="L15" s="65" t="s">
        <v>45</v>
      </c>
      <c r="M15" s="65" t="s">
        <v>45</v>
      </c>
      <c r="N15" s="65" t="s">
        <v>45</v>
      </c>
      <c r="O15" s="89"/>
      <c r="P15" s="65" t="s">
        <v>45</v>
      </c>
      <c r="Q15" s="165"/>
      <c r="R15" s="64" t="s">
        <v>45</v>
      </c>
      <c r="S15" s="159"/>
      <c r="T15" s="162"/>
    </row>
    <row r="16" spans="2:20" ht="30" customHeight="1" x14ac:dyDescent="0.25">
      <c r="B16" s="88"/>
      <c r="C16" s="87"/>
      <c r="D16" s="89"/>
      <c r="E16" s="67" t="s">
        <v>21</v>
      </c>
      <c r="F16" s="77" t="s">
        <v>45</v>
      </c>
      <c r="G16" s="77" t="s">
        <v>45</v>
      </c>
      <c r="H16" s="69" t="s">
        <v>45</v>
      </c>
      <c r="I16" s="69" t="s">
        <v>45</v>
      </c>
      <c r="J16" s="65" t="s">
        <v>45</v>
      </c>
      <c r="K16" s="65" t="s">
        <v>45</v>
      </c>
      <c r="L16" s="65" t="s">
        <v>45</v>
      </c>
      <c r="M16" s="65" t="s">
        <v>45</v>
      </c>
      <c r="N16" s="65" t="s">
        <v>45</v>
      </c>
      <c r="O16" s="89"/>
      <c r="P16" s="65" t="s">
        <v>45</v>
      </c>
      <c r="Q16" s="165"/>
      <c r="R16" s="64" t="s">
        <v>45</v>
      </c>
      <c r="S16" s="159"/>
      <c r="T16" s="162"/>
    </row>
    <row r="17" spans="2:20" ht="30" customHeight="1" x14ac:dyDescent="0.25">
      <c r="B17" s="88"/>
      <c r="C17" s="87"/>
      <c r="D17" s="89"/>
      <c r="E17" s="67" t="s">
        <v>30</v>
      </c>
      <c r="F17" s="77" t="s">
        <v>45</v>
      </c>
      <c r="G17" s="77" t="s">
        <v>45</v>
      </c>
      <c r="H17" s="69" t="s">
        <v>45</v>
      </c>
      <c r="I17" s="69" t="s">
        <v>45</v>
      </c>
      <c r="J17" s="65" t="s">
        <v>45</v>
      </c>
      <c r="K17" s="65" t="s">
        <v>45</v>
      </c>
      <c r="L17" s="65" t="s">
        <v>45</v>
      </c>
      <c r="M17" s="65" t="s">
        <v>45</v>
      </c>
      <c r="N17" s="65" t="s">
        <v>45</v>
      </c>
      <c r="O17" s="89"/>
      <c r="P17" s="65" t="s">
        <v>45</v>
      </c>
      <c r="Q17" s="166"/>
      <c r="R17" s="64" t="s">
        <v>45</v>
      </c>
      <c r="S17" s="159"/>
      <c r="T17" s="163"/>
    </row>
    <row r="18" spans="2:20" ht="49.95" customHeight="1" x14ac:dyDescent="0.25">
      <c r="B18" s="90" t="s">
        <v>105</v>
      </c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</row>
  </sheetData>
  <mergeCells count="28">
    <mergeCell ref="R4:T4"/>
    <mergeCell ref="Q2:T2"/>
    <mergeCell ref="Q3:T3"/>
    <mergeCell ref="O5:O6"/>
    <mergeCell ref="P5:P6"/>
    <mergeCell ref="Q5:S5"/>
    <mergeCell ref="T5:T6"/>
    <mergeCell ref="B2:I2"/>
    <mergeCell ref="B4:I4"/>
    <mergeCell ref="J4:P4"/>
    <mergeCell ref="J2:P2"/>
    <mergeCell ref="J3:P3"/>
    <mergeCell ref="C3:I3"/>
    <mergeCell ref="T12:T17"/>
    <mergeCell ref="Q8:Q17"/>
    <mergeCell ref="B18:T18"/>
    <mergeCell ref="B8:B17"/>
    <mergeCell ref="K5:K6"/>
    <mergeCell ref="L5:M5"/>
    <mergeCell ref="C8:C17"/>
    <mergeCell ref="J5:J6"/>
    <mergeCell ref="N5:N6"/>
    <mergeCell ref="O8:O17"/>
    <mergeCell ref="S8:S17"/>
    <mergeCell ref="D8:D17"/>
    <mergeCell ref="B5:B6"/>
    <mergeCell ref="C5:I5"/>
    <mergeCell ref="B7:T7"/>
  </mergeCells>
  <phoneticPr fontId="6" type="noConversion"/>
  <printOptions horizontalCentered="1"/>
  <pageMargins left="0.25" right="0.25" top="0.75" bottom="0.75" header="0.3" footer="0.3"/>
  <pageSetup paperSize="8" scale="38" fitToHeight="0" orientation="landscape" r:id="rId1"/>
  <headerFooter>
    <oddFooter>&amp;L&amp;1#&amp;"Calibri,Regular"&amp;8&amp;K000000Sensitivity: LNT Construction Internal Use&amp;CPage &amp;P-1 of &amp;N-1&amp;R&amp;8Designed by: GP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B2:Q218"/>
  <sheetViews>
    <sheetView view="pageBreakPreview" topLeftCell="A145" zoomScale="40" zoomScaleNormal="55" zoomScaleSheetLayoutView="40" zoomScalePageLayoutView="65" workbookViewId="0">
      <selection activeCell="P213" sqref="P213:P217"/>
    </sheetView>
  </sheetViews>
  <sheetFormatPr defaultRowHeight="23.4" x14ac:dyDescent="0.45"/>
  <cols>
    <col min="1" max="1" width="2.77734375" style="66" customWidth="1"/>
    <col min="2" max="2" width="14.88671875" style="66" bestFit="1" customWidth="1"/>
    <col min="3" max="3" width="31.77734375" style="72" bestFit="1" customWidth="1"/>
    <col min="4" max="4" width="45.44140625" style="66" customWidth="1"/>
    <col min="5" max="5" width="17.33203125" style="66" customWidth="1"/>
    <col min="6" max="6" width="16.77734375" style="66" customWidth="1"/>
    <col min="7" max="7" width="16.21875" style="66" customWidth="1"/>
    <col min="8" max="8" width="19.21875" style="66" customWidth="1"/>
    <col min="9" max="9" width="20.109375" style="66" bestFit="1" customWidth="1"/>
    <col min="10" max="11" width="49.5546875" style="66" bestFit="1" customWidth="1"/>
    <col min="12" max="12" width="29" style="66" bestFit="1" customWidth="1"/>
    <col min="13" max="13" width="31.77734375" style="66" bestFit="1" customWidth="1"/>
    <col min="14" max="14" width="58.88671875" style="66" customWidth="1"/>
    <col min="15" max="15" width="89.33203125" style="66" bestFit="1" customWidth="1"/>
    <col min="16" max="16" width="57" style="66" customWidth="1"/>
    <col min="17" max="230" width="9.21875" style="66"/>
    <col min="231" max="231" width="2.77734375" style="66" customWidth="1"/>
    <col min="232" max="232" width="7.21875" style="66" customWidth="1"/>
    <col min="233" max="233" width="23.77734375" style="66" customWidth="1"/>
    <col min="234" max="234" width="17.21875" style="66" customWidth="1"/>
    <col min="235" max="235" width="15" style="66" customWidth="1"/>
    <col min="236" max="236" width="18.77734375" style="66" bestFit="1" customWidth="1"/>
    <col min="237" max="237" width="15.21875" style="66" customWidth="1"/>
    <col min="238" max="238" width="9.77734375" style="66" customWidth="1"/>
    <col min="239" max="239" width="41.21875" style="66" customWidth="1"/>
    <col min="240" max="240" width="41.44140625" style="66" customWidth="1"/>
    <col min="241" max="242" width="22.44140625" style="66" customWidth="1"/>
    <col min="243" max="243" width="30.44140625" style="66" customWidth="1"/>
    <col min="244" max="244" width="33.21875" style="66" customWidth="1"/>
    <col min="245" max="245" width="21.21875" style="66" customWidth="1"/>
    <col min="246" max="486" width="9.21875" style="66"/>
    <col min="487" max="487" width="2.77734375" style="66" customWidth="1"/>
    <col min="488" max="488" width="7.21875" style="66" customWidth="1"/>
    <col min="489" max="489" width="23.77734375" style="66" customWidth="1"/>
    <col min="490" max="490" width="17.21875" style="66" customWidth="1"/>
    <col min="491" max="491" width="15" style="66" customWidth="1"/>
    <col min="492" max="492" width="18.77734375" style="66" bestFit="1" customWidth="1"/>
    <col min="493" max="493" width="15.21875" style="66" customWidth="1"/>
    <col min="494" max="494" width="9.77734375" style="66" customWidth="1"/>
    <col min="495" max="495" width="41.21875" style="66" customWidth="1"/>
    <col min="496" max="496" width="41.44140625" style="66" customWidth="1"/>
    <col min="497" max="498" width="22.44140625" style="66" customWidth="1"/>
    <col min="499" max="499" width="30.44140625" style="66" customWidth="1"/>
    <col min="500" max="500" width="33.21875" style="66" customWidth="1"/>
    <col min="501" max="501" width="21.21875" style="66" customWidth="1"/>
    <col min="502" max="742" width="9.21875" style="66"/>
    <col min="743" max="743" width="2.77734375" style="66" customWidth="1"/>
    <col min="744" max="744" width="7.21875" style="66" customWidth="1"/>
    <col min="745" max="745" width="23.77734375" style="66" customWidth="1"/>
    <col min="746" max="746" width="17.21875" style="66" customWidth="1"/>
    <col min="747" max="747" width="15" style="66" customWidth="1"/>
    <col min="748" max="748" width="18.77734375" style="66" bestFit="1" customWidth="1"/>
    <col min="749" max="749" width="15.21875" style="66" customWidth="1"/>
    <col min="750" max="750" width="9.77734375" style="66" customWidth="1"/>
    <col min="751" max="751" width="41.21875" style="66" customWidth="1"/>
    <col min="752" max="752" width="41.44140625" style="66" customWidth="1"/>
    <col min="753" max="754" width="22.44140625" style="66" customWidth="1"/>
    <col min="755" max="755" width="30.44140625" style="66" customWidth="1"/>
    <col min="756" max="756" width="33.21875" style="66" customWidth="1"/>
    <col min="757" max="757" width="21.21875" style="66" customWidth="1"/>
    <col min="758" max="998" width="9.21875" style="66"/>
    <col min="999" max="999" width="2.77734375" style="66" customWidth="1"/>
    <col min="1000" max="1000" width="7.21875" style="66" customWidth="1"/>
    <col min="1001" max="1001" width="23.77734375" style="66" customWidth="1"/>
    <col min="1002" max="1002" width="17.21875" style="66" customWidth="1"/>
    <col min="1003" max="1003" width="15" style="66" customWidth="1"/>
    <col min="1004" max="1004" width="18.77734375" style="66" bestFit="1" customWidth="1"/>
    <col min="1005" max="1005" width="15.21875" style="66" customWidth="1"/>
    <col min="1006" max="1006" width="9.77734375" style="66" customWidth="1"/>
    <col min="1007" max="1007" width="41.21875" style="66" customWidth="1"/>
    <col min="1008" max="1008" width="41.44140625" style="66" customWidth="1"/>
    <col min="1009" max="1010" width="22.44140625" style="66" customWidth="1"/>
    <col min="1011" max="1011" width="30.44140625" style="66" customWidth="1"/>
    <col min="1012" max="1012" width="33.21875" style="66" customWidth="1"/>
    <col min="1013" max="1013" width="21.21875" style="66" customWidth="1"/>
    <col min="1014" max="1254" width="9.21875" style="66"/>
    <col min="1255" max="1255" width="2.77734375" style="66" customWidth="1"/>
    <col min="1256" max="1256" width="7.21875" style="66" customWidth="1"/>
    <col min="1257" max="1257" width="23.77734375" style="66" customWidth="1"/>
    <col min="1258" max="1258" width="17.21875" style="66" customWidth="1"/>
    <col min="1259" max="1259" width="15" style="66" customWidth="1"/>
    <col min="1260" max="1260" width="18.77734375" style="66" bestFit="1" customWidth="1"/>
    <col min="1261" max="1261" width="15.21875" style="66" customWidth="1"/>
    <col min="1262" max="1262" width="9.77734375" style="66" customWidth="1"/>
    <col min="1263" max="1263" width="41.21875" style="66" customWidth="1"/>
    <col min="1264" max="1264" width="41.44140625" style="66" customWidth="1"/>
    <col min="1265" max="1266" width="22.44140625" style="66" customWidth="1"/>
    <col min="1267" max="1267" width="30.44140625" style="66" customWidth="1"/>
    <col min="1268" max="1268" width="33.21875" style="66" customWidth="1"/>
    <col min="1269" max="1269" width="21.21875" style="66" customWidth="1"/>
    <col min="1270" max="1510" width="9.21875" style="66"/>
    <col min="1511" max="1511" width="2.77734375" style="66" customWidth="1"/>
    <col min="1512" max="1512" width="7.21875" style="66" customWidth="1"/>
    <col min="1513" max="1513" width="23.77734375" style="66" customWidth="1"/>
    <col min="1514" max="1514" width="17.21875" style="66" customWidth="1"/>
    <col min="1515" max="1515" width="15" style="66" customWidth="1"/>
    <col min="1516" max="1516" width="18.77734375" style="66" bestFit="1" customWidth="1"/>
    <col min="1517" max="1517" width="15.21875" style="66" customWidth="1"/>
    <col min="1518" max="1518" width="9.77734375" style="66" customWidth="1"/>
    <col min="1519" max="1519" width="41.21875" style="66" customWidth="1"/>
    <col min="1520" max="1520" width="41.44140625" style="66" customWidth="1"/>
    <col min="1521" max="1522" width="22.44140625" style="66" customWidth="1"/>
    <col min="1523" max="1523" width="30.44140625" style="66" customWidth="1"/>
    <col min="1524" max="1524" width="33.21875" style="66" customWidth="1"/>
    <col min="1525" max="1525" width="21.21875" style="66" customWidth="1"/>
    <col min="1526" max="1766" width="9.21875" style="66"/>
    <col min="1767" max="1767" width="2.77734375" style="66" customWidth="1"/>
    <col min="1768" max="1768" width="7.21875" style="66" customWidth="1"/>
    <col min="1769" max="1769" width="23.77734375" style="66" customWidth="1"/>
    <col min="1770" max="1770" width="17.21875" style="66" customWidth="1"/>
    <col min="1771" max="1771" width="15" style="66" customWidth="1"/>
    <col min="1772" max="1772" width="18.77734375" style="66" bestFit="1" customWidth="1"/>
    <col min="1773" max="1773" width="15.21875" style="66" customWidth="1"/>
    <col min="1774" max="1774" width="9.77734375" style="66" customWidth="1"/>
    <col min="1775" max="1775" width="41.21875" style="66" customWidth="1"/>
    <col min="1776" max="1776" width="41.44140625" style="66" customWidth="1"/>
    <col min="1777" max="1778" width="22.44140625" style="66" customWidth="1"/>
    <col min="1779" max="1779" width="30.44140625" style="66" customWidth="1"/>
    <col min="1780" max="1780" width="33.21875" style="66" customWidth="1"/>
    <col min="1781" max="1781" width="21.21875" style="66" customWidth="1"/>
    <col min="1782" max="2022" width="9.21875" style="66"/>
    <col min="2023" max="2023" width="2.77734375" style="66" customWidth="1"/>
    <col min="2024" max="2024" width="7.21875" style="66" customWidth="1"/>
    <col min="2025" max="2025" width="23.77734375" style="66" customWidth="1"/>
    <col min="2026" max="2026" width="17.21875" style="66" customWidth="1"/>
    <col min="2027" max="2027" width="15" style="66" customWidth="1"/>
    <col min="2028" max="2028" width="18.77734375" style="66" bestFit="1" customWidth="1"/>
    <col min="2029" max="2029" width="15.21875" style="66" customWidth="1"/>
    <col min="2030" max="2030" width="9.77734375" style="66" customWidth="1"/>
    <col min="2031" max="2031" width="41.21875" style="66" customWidth="1"/>
    <col min="2032" max="2032" width="41.44140625" style="66" customWidth="1"/>
    <col min="2033" max="2034" width="22.44140625" style="66" customWidth="1"/>
    <col min="2035" max="2035" width="30.44140625" style="66" customWidth="1"/>
    <col min="2036" max="2036" width="33.21875" style="66" customWidth="1"/>
    <col min="2037" max="2037" width="21.21875" style="66" customWidth="1"/>
    <col min="2038" max="2278" width="9.21875" style="66"/>
    <col min="2279" max="2279" width="2.77734375" style="66" customWidth="1"/>
    <col min="2280" max="2280" width="7.21875" style="66" customWidth="1"/>
    <col min="2281" max="2281" width="23.77734375" style="66" customWidth="1"/>
    <col min="2282" max="2282" width="17.21875" style="66" customWidth="1"/>
    <col min="2283" max="2283" width="15" style="66" customWidth="1"/>
    <col min="2284" max="2284" width="18.77734375" style="66" bestFit="1" customWidth="1"/>
    <col min="2285" max="2285" width="15.21875" style="66" customWidth="1"/>
    <col min="2286" max="2286" width="9.77734375" style="66" customWidth="1"/>
    <col min="2287" max="2287" width="41.21875" style="66" customWidth="1"/>
    <col min="2288" max="2288" width="41.44140625" style="66" customWidth="1"/>
    <col min="2289" max="2290" width="22.44140625" style="66" customWidth="1"/>
    <col min="2291" max="2291" width="30.44140625" style="66" customWidth="1"/>
    <col min="2292" max="2292" width="33.21875" style="66" customWidth="1"/>
    <col min="2293" max="2293" width="21.21875" style="66" customWidth="1"/>
    <col min="2294" max="2534" width="9.21875" style="66"/>
    <col min="2535" max="2535" width="2.77734375" style="66" customWidth="1"/>
    <col min="2536" max="2536" width="7.21875" style="66" customWidth="1"/>
    <col min="2537" max="2537" width="23.77734375" style="66" customWidth="1"/>
    <col min="2538" max="2538" width="17.21875" style="66" customWidth="1"/>
    <col min="2539" max="2539" width="15" style="66" customWidth="1"/>
    <col min="2540" max="2540" width="18.77734375" style="66" bestFit="1" customWidth="1"/>
    <col min="2541" max="2541" width="15.21875" style="66" customWidth="1"/>
    <col min="2542" max="2542" width="9.77734375" style="66" customWidth="1"/>
    <col min="2543" max="2543" width="41.21875" style="66" customWidth="1"/>
    <col min="2544" max="2544" width="41.44140625" style="66" customWidth="1"/>
    <col min="2545" max="2546" width="22.44140625" style="66" customWidth="1"/>
    <col min="2547" max="2547" width="30.44140625" style="66" customWidth="1"/>
    <col min="2548" max="2548" width="33.21875" style="66" customWidth="1"/>
    <col min="2549" max="2549" width="21.21875" style="66" customWidth="1"/>
    <col min="2550" max="2790" width="9.21875" style="66"/>
    <col min="2791" max="2791" width="2.77734375" style="66" customWidth="1"/>
    <col min="2792" max="2792" width="7.21875" style="66" customWidth="1"/>
    <col min="2793" max="2793" width="23.77734375" style="66" customWidth="1"/>
    <col min="2794" max="2794" width="17.21875" style="66" customWidth="1"/>
    <col min="2795" max="2795" width="15" style="66" customWidth="1"/>
    <col min="2796" max="2796" width="18.77734375" style="66" bestFit="1" customWidth="1"/>
    <col min="2797" max="2797" width="15.21875" style="66" customWidth="1"/>
    <col min="2798" max="2798" width="9.77734375" style="66" customWidth="1"/>
    <col min="2799" max="2799" width="41.21875" style="66" customWidth="1"/>
    <col min="2800" max="2800" width="41.44140625" style="66" customWidth="1"/>
    <col min="2801" max="2802" width="22.44140625" style="66" customWidth="1"/>
    <col min="2803" max="2803" width="30.44140625" style="66" customWidth="1"/>
    <col min="2804" max="2804" width="33.21875" style="66" customWidth="1"/>
    <col min="2805" max="2805" width="21.21875" style="66" customWidth="1"/>
    <col min="2806" max="3046" width="9.21875" style="66"/>
    <col min="3047" max="3047" width="2.77734375" style="66" customWidth="1"/>
    <col min="3048" max="3048" width="7.21875" style="66" customWidth="1"/>
    <col min="3049" max="3049" width="23.77734375" style="66" customWidth="1"/>
    <col min="3050" max="3050" width="17.21875" style="66" customWidth="1"/>
    <col min="3051" max="3051" width="15" style="66" customWidth="1"/>
    <col min="3052" max="3052" width="18.77734375" style="66" bestFit="1" customWidth="1"/>
    <col min="3053" max="3053" width="15.21875" style="66" customWidth="1"/>
    <col min="3054" max="3054" width="9.77734375" style="66" customWidth="1"/>
    <col min="3055" max="3055" width="41.21875" style="66" customWidth="1"/>
    <col min="3056" max="3056" width="41.44140625" style="66" customWidth="1"/>
    <col min="3057" max="3058" width="22.44140625" style="66" customWidth="1"/>
    <col min="3059" max="3059" width="30.44140625" style="66" customWidth="1"/>
    <col min="3060" max="3060" width="33.21875" style="66" customWidth="1"/>
    <col min="3061" max="3061" width="21.21875" style="66" customWidth="1"/>
    <col min="3062" max="3302" width="9.21875" style="66"/>
    <col min="3303" max="3303" width="2.77734375" style="66" customWidth="1"/>
    <col min="3304" max="3304" width="7.21875" style="66" customWidth="1"/>
    <col min="3305" max="3305" width="23.77734375" style="66" customWidth="1"/>
    <col min="3306" max="3306" width="17.21875" style="66" customWidth="1"/>
    <col min="3307" max="3307" width="15" style="66" customWidth="1"/>
    <col min="3308" max="3308" width="18.77734375" style="66" bestFit="1" customWidth="1"/>
    <col min="3309" max="3309" width="15.21875" style="66" customWidth="1"/>
    <col min="3310" max="3310" width="9.77734375" style="66" customWidth="1"/>
    <col min="3311" max="3311" width="41.21875" style="66" customWidth="1"/>
    <col min="3312" max="3312" width="41.44140625" style="66" customWidth="1"/>
    <col min="3313" max="3314" width="22.44140625" style="66" customWidth="1"/>
    <col min="3315" max="3315" width="30.44140625" style="66" customWidth="1"/>
    <col min="3316" max="3316" width="33.21875" style="66" customWidth="1"/>
    <col min="3317" max="3317" width="21.21875" style="66" customWidth="1"/>
    <col min="3318" max="3558" width="9.21875" style="66"/>
    <col min="3559" max="3559" width="2.77734375" style="66" customWidth="1"/>
    <col min="3560" max="3560" width="7.21875" style="66" customWidth="1"/>
    <col min="3561" max="3561" width="23.77734375" style="66" customWidth="1"/>
    <col min="3562" max="3562" width="17.21875" style="66" customWidth="1"/>
    <col min="3563" max="3563" width="15" style="66" customWidth="1"/>
    <col min="3564" max="3564" width="18.77734375" style="66" bestFit="1" customWidth="1"/>
    <col min="3565" max="3565" width="15.21875" style="66" customWidth="1"/>
    <col min="3566" max="3566" width="9.77734375" style="66" customWidth="1"/>
    <col min="3567" max="3567" width="41.21875" style="66" customWidth="1"/>
    <col min="3568" max="3568" width="41.44140625" style="66" customWidth="1"/>
    <col min="3569" max="3570" width="22.44140625" style="66" customWidth="1"/>
    <col min="3571" max="3571" width="30.44140625" style="66" customWidth="1"/>
    <col min="3572" max="3572" width="33.21875" style="66" customWidth="1"/>
    <col min="3573" max="3573" width="21.21875" style="66" customWidth="1"/>
    <col min="3574" max="3814" width="9.21875" style="66"/>
    <col min="3815" max="3815" width="2.77734375" style="66" customWidth="1"/>
    <col min="3816" max="3816" width="7.21875" style="66" customWidth="1"/>
    <col min="3817" max="3817" width="23.77734375" style="66" customWidth="1"/>
    <col min="3818" max="3818" width="17.21875" style="66" customWidth="1"/>
    <col min="3819" max="3819" width="15" style="66" customWidth="1"/>
    <col min="3820" max="3820" width="18.77734375" style="66" bestFit="1" customWidth="1"/>
    <col min="3821" max="3821" width="15.21875" style="66" customWidth="1"/>
    <col min="3822" max="3822" width="9.77734375" style="66" customWidth="1"/>
    <col min="3823" max="3823" width="41.21875" style="66" customWidth="1"/>
    <col min="3824" max="3824" width="41.44140625" style="66" customWidth="1"/>
    <col min="3825" max="3826" width="22.44140625" style="66" customWidth="1"/>
    <col min="3827" max="3827" width="30.44140625" style="66" customWidth="1"/>
    <col min="3828" max="3828" width="33.21875" style="66" customWidth="1"/>
    <col min="3829" max="3829" width="21.21875" style="66" customWidth="1"/>
    <col min="3830" max="4070" width="9.21875" style="66"/>
    <col min="4071" max="4071" width="2.77734375" style="66" customWidth="1"/>
    <col min="4072" max="4072" width="7.21875" style="66" customWidth="1"/>
    <col min="4073" max="4073" width="23.77734375" style="66" customWidth="1"/>
    <col min="4074" max="4074" width="17.21875" style="66" customWidth="1"/>
    <col min="4075" max="4075" width="15" style="66" customWidth="1"/>
    <col min="4076" max="4076" width="18.77734375" style="66" bestFit="1" customWidth="1"/>
    <col min="4077" max="4077" width="15.21875" style="66" customWidth="1"/>
    <col min="4078" max="4078" width="9.77734375" style="66" customWidth="1"/>
    <col min="4079" max="4079" width="41.21875" style="66" customWidth="1"/>
    <col min="4080" max="4080" width="41.44140625" style="66" customWidth="1"/>
    <col min="4081" max="4082" width="22.44140625" style="66" customWidth="1"/>
    <col min="4083" max="4083" width="30.44140625" style="66" customWidth="1"/>
    <col min="4084" max="4084" width="33.21875" style="66" customWidth="1"/>
    <col min="4085" max="4085" width="21.21875" style="66" customWidth="1"/>
    <col min="4086" max="4326" width="9.21875" style="66"/>
    <col min="4327" max="4327" width="2.77734375" style="66" customWidth="1"/>
    <col min="4328" max="4328" width="7.21875" style="66" customWidth="1"/>
    <col min="4329" max="4329" width="23.77734375" style="66" customWidth="1"/>
    <col min="4330" max="4330" width="17.21875" style="66" customWidth="1"/>
    <col min="4331" max="4331" width="15" style="66" customWidth="1"/>
    <col min="4332" max="4332" width="18.77734375" style="66" bestFit="1" customWidth="1"/>
    <col min="4333" max="4333" width="15.21875" style="66" customWidth="1"/>
    <col min="4334" max="4334" width="9.77734375" style="66" customWidth="1"/>
    <col min="4335" max="4335" width="41.21875" style="66" customWidth="1"/>
    <col min="4336" max="4336" width="41.44140625" style="66" customWidth="1"/>
    <col min="4337" max="4338" width="22.44140625" style="66" customWidth="1"/>
    <col min="4339" max="4339" width="30.44140625" style="66" customWidth="1"/>
    <col min="4340" max="4340" width="33.21875" style="66" customWidth="1"/>
    <col min="4341" max="4341" width="21.21875" style="66" customWidth="1"/>
    <col min="4342" max="4582" width="9.21875" style="66"/>
    <col min="4583" max="4583" width="2.77734375" style="66" customWidth="1"/>
    <col min="4584" max="4584" width="7.21875" style="66" customWidth="1"/>
    <col min="4585" max="4585" width="23.77734375" style="66" customWidth="1"/>
    <col min="4586" max="4586" width="17.21875" style="66" customWidth="1"/>
    <col min="4587" max="4587" width="15" style="66" customWidth="1"/>
    <col min="4588" max="4588" width="18.77734375" style="66" bestFit="1" customWidth="1"/>
    <col min="4589" max="4589" width="15.21875" style="66" customWidth="1"/>
    <col min="4590" max="4590" width="9.77734375" style="66" customWidth="1"/>
    <col min="4591" max="4591" width="41.21875" style="66" customWidth="1"/>
    <col min="4592" max="4592" width="41.44140625" style="66" customWidth="1"/>
    <col min="4593" max="4594" width="22.44140625" style="66" customWidth="1"/>
    <col min="4595" max="4595" width="30.44140625" style="66" customWidth="1"/>
    <col min="4596" max="4596" width="33.21875" style="66" customWidth="1"/>
    <col min="4597" max="4597" width="21.21875" style="66" customWidth="1"/>
    <col min="4598" max="4838" width="9.21875" style="66"/>
    <col min="4839" max="4839" width="2.77734375" style="66" customWidth="1"/>
    <col min="4840" max="4840" width="7.21875" style="66" customWidth="1"/>
    <col min="4841" max="4841" width="23.77734375" style="66" customWidth="1"/>
    <col min="4842" max="4842" width="17.21875" style="66" customWidth="1"/>
    <col min="4843" max="4843" width="15" style="66" customWidth="1"/>
    <col min="4844" max="4844" width="18.77734375" style="66" bestFit="1" customWidth="1"/>
    <col min="4845" max="4845" width="15.21875" style="66" customWidth="1"/>
    <col min="4846" max="4846" width="9.77734375" style="66" customWidth="1"/>
    <col min="4847" max="4847" width="41.21875" style="66" customWidth="1"/>
    <col min="4848" max="4848" width="41.44140625" style="66" customWidth="1"/>
    <col min="4849" max="4850" width="22.44140625" style="66" customWidth="1"/>
    <col min="4851" max="4851" width="30.44140625" style="66" customWidth="1"/>
    <col min="4852" max="4852" width="33.21875" style="66" customWidth="1"/>
    <col min="4853" max="4853" width="21.21875" style="66" customWidth="1"/>
    <col min="4854" max="5094" width="9.21875" style="66"/>
    <col min="5095" max="5095" width="2.77734375" style="66" customWidth="1"/>
    <col min="5096" max="5096" width="7.21875" style="66" customWidth="1"/>
    <col min="5097" max="5097" width="23.77734375" style="66" customWidth="1"/>
    <col min="5098" max="5098" width="17.21875" style="66" customWidth="1"/>
    <col min="5099" max="5099" width="15" style="66" customWidth="1"/>
    <col min="5100" max="5100" width="18.77734375" style="66" bestFit="1" customWidth="1"/>
    <col min="5101" max="5101" width="15.21875" style="66" customWidth="1"/>
    <col min="5102" max="5102" width="9.77734375" style="66" customWidth="1"/>
    <col min="5103" max="5103" width="41.21875" style="66" customWidth="1"/>
    <col min="5104" max="5104" width="41.44140625" style="66" customWidth="1"/>
    <col min="5105" max="5106" width="22.44140625" style="66" customWidth="1"/>
    <col min="5107" max="5107" width="30.44140625" style="66" customWidth="1"/>
    <col min="5108" max="5108" width="33.21875" style="66" customWidth="1"/>
    <col min="5109" max="5109" width="21.21875" style="66" customWidth="1"/>
    <col min="5110" max="5350" width="9.21875" style="66"/>
    <col min="5351" max="5351" width="2.77734375" style="66" customWidth="1"/>
    <col min="5352" max="5352" width="7.21875" style="66" customWidth="1"/>
    <col min="5353" max="5353" width="23.77734375" style="66" customWidth="1"/>
    <col min="5354" max="5354" width="17.21875" style="66" customWidth="1"/>
    <col min="5355" max="5355" width="15" style="66" customWidth="1"/>
    <col min="5356" max="5356" width="18.77734375" style="66" bestFit="1" customWidth="1"/>
    <col min="5357" max="5357" width="15.21875" style="66" customWidth="1"/>
    <col min="5358" max="5358" width="9.77734375" style="66" customWidth="1"/>
    <col min="5359" max="5359" width="41.21875" style="66" customWidth="1"/>
    <col min="5360" max="5360" width="41.44140625" style="66" customWidth="1"/>
    <col min="5361" max="5362" width="22.44140625" style="66" customWidth="1"/>
    <col min="5363" max="5363" width="30.44140625" style="66" customWidth="1"/>
    <col min="5364" max="5364" width="33.21875" style="66" customWidth="1"/>
    <col min="5365" max="5365" width="21.21875" style="66" customWidth="1"/>
    <col min="5366" max="5606" width="9.21875" style="66"/>
    <col min="5607" max="5607" width="2.77734375" style="66" customWidth="1"/>
    <col min="5608" max="5608" width="7.21875" style="66" customWidth="1"/>
    <col min="5609" max="5609" width="23.77734375" style="66" customWidth="1"/>
    <col min="5610" max="5610" width="17.21875" style="66" customWidth="1"/>
    <col min="5611" max="5611" width="15" style="66" customWidth="1"/>
    <col min="5612" max="5612" width="18.77734375" style="66" bestFit="1" customWidth="1"/>
    <col min="5613" max="5613" width="15.21875" style="66" customWidth="1"/>
    <col min="5614" max="5614" width="9.77734375" style="66" customWidth="1"/>
    <col min="5615" max="5615" width="41.21875" style="66" customWidth="1"/>
    <col min="5616" max="5616" width="41.44140625" style="66" customWidth="1"/>
    <col min="5617" max="5618" width="22.44140625" style="66" customWidth="1"/>
    <col min="5619" max="5619" width="30.44140625" style="66" customWidth="1"/>
    <col min="5620" max="5620" width="33.21875" style="66" customWidth="1"/>
    <col min="5621" max="5621" width="21.21875" style="66" customWidth="1"/>
    <col min="5622" max="5862" width="9.21875" style="66"/>
    <col min="5863" max="5863" width="2.77734375" style="66" customWidth="1"/>
    <col min="5864" max="5864" width="7.21875" style="66" customWidth="1"/>
    <col min="5865" max="5865" width="23.77734375" style="66" customWidth="1"/>
    <col min="5866" max="5866" width="17.21875" style="66" customWidth="1"/>
    <col min="5867" max="5867" width="15" style="66" customWidth="1"/>
    <col min="5868" max="5868" width="18.77734375" style="66" bestFit="1" customWidth="1"/>
    <col min="5869" max="5869" width="15.21875" style="66" customWidth="1"/>
    <col min="5870" max="5870" width="9.77734375" style="66" customWidth="1"/>
    <col min="5871" max="5871" width="41.21875" style="66" customWidth="1"/>
    <col min="5872" max="5872" width="41.44140625" style="66" customWidth="1"/>
    <col min="5873" max="5874" width="22.44140625" style="66" customWidth="1"/>
    <col min="5875" max="5875" width="30.44140625" style="66" customWidth="1"/>
    <col min="5876" max="5876" width="33.21875" style="66" customWidth="1"/>
    <col min="5877" max="5877" width="21.21875" style="66" customWidth="1"/>
    <col min="5878" max="6118" width="9.21875" style="66"/>
    <col min="6119" max="6119" width="2.77734375" style="66" customWidth="1"/>
    <col min="6120" max="6120" width="7.21875" style="66" customWidth="1"/>
    <col min="6121" max="6121" width="23.77734375" style="66" customWidth="1"/>
    <col min="6122" max="6122" width="17.21875" style="66" customWidth="1"/>
    <col min="6123" max="6123" width="15" style="66" customWidth="1"/>
    <col min="6124" max="6124" width="18.77734375" style="66" bestFit="1" customWidth="1"/>
    <col min="6125" max="6125" width="15.21875" style="66" customWidth="1"/>
    <col min="6126" max="6126" width="9.77734375" style="66" customWidth="1"/>
    <col min="6127" max="6127" width="41.21875" style="66" customWidth="1"/>
    <col min="6128" max="6128" width="41.44140625" style="66" customWidth="1"/>
    <col min="6129" max="6130" width="22.44140625" style="66" customWidth="1"/>
    <col min="6131" max="6131" width="30.44140625" style="66" customWidth="1"/>
    <col min="6132" max="6132" width="33.21875" style="66" customWidth="1"/>
    <col min="6133" max="6133" width="21.21875" style="66" customWidth="1"/>
    <col min="6134" max="6374" width="9.21875" style="66"/>
    <col min="6375" max="6375" width="2.77734375" style="66" customWidth="1"/>
    <col min="6376" max="6376" width="7.21875" style="66" customWidth="1"/>
    <col min="6377" max="6377" width="23.77734375" style="66" customWidth="1"/>
    <col min="6378" max="6378" width="17.21875" style="66" customWidth="1"/>
    <col min="6379" max="6379" width="15" style="66" customWidth="1"/>
    <col min="6380" max="6380" width="18.77734375" style="66" bestFit="1" customWidth="1"/>
    <col min="6381" max="6381" width="15.21875" style="66" customWidth="1"/>
    <col min="6382" max="6382" width="9.77734375" style="66" customWidth="1"/>
    <col min="6383" max="6383" width="41.21875" style="66" customWidth="1"/>
    <col min="6384" max="6384" width="41.44140625" style="66" customWidth="1"/>
    <col min="6385" max="6386" width="22.44140625" style="66" customWidth="1"/>
    <col min="6387" max="6387" width="30.44140625" style="66" customWidth="1"/>
    <col min="6388" max="6388" width="33.21875" style="66" customWidth="1"/>
    <col min="6389" max="6389" width="21.21875" style="66" customWidth="1"/>
    <col min="6390" max="6630" width="9.21875" style="66"/>
    <col min="6631" max="6631" width="2.77734375" style="66" customWidth="1"/>
    <col min="6632" max="6632" width="7.21875" style="66" customWidth="1"/>
    <col min="6633" max="6633" width="23.77734375" style="66" customWidth="1"/>
    <col min="6634" max="6634" width="17.21875" style="66" customWidth="1"/>
    <col min="6635" max="6635" width="15" style="66" customWidth="1"/>
    <col min="6636" max="6636" width="18.77734375" style="66" bestFit="1" customWidth="1"/>
    <col min="6637" max="6637" width="15.21875" style="66" customWidth="1"/>
    <col min="6638" max="6638" width="9.77734375" style="66" customWidth="1"/>
    <col min="6639" max="6639" width="41.21875" style="66" customWidth="1"/>
    <col min="6640" max="6640" width="41.44140625" style="66" customWidth="1"/>
    <col min="6641" max="6642" width="22.44140625" style="66" customWidth="1"/>
    <col min="6643" max="6643" width="30.44140625" style="66" customWidth="1"/>
    <col min="6644" max="6644" width="33.21875" style="66" customWidth="1"/>
    <col min="6645" max="6645" width="21.21875" style="66" customWidth="1"/>
    <col min="6646" max="6886" width="9.21875" style="66"/>
    <col min="6887" max="6887" width="2.77734375" style="66" customWidth="1"/>
    <col min="6888" max="6888" width="7.21875" style="66" customWidth="1"/>
    <col min="6889" max="6889" width="23.77734375" style="66" customWidth="1"/>
    <col min="6890" max="6890" width="17.21875" style="66" customWidth="1"/>
    <col min="6891" max="6891" width="15" style="66" customWidth="1"/>
    <col min="6892" max="6892" width="18.77734375" style="66" bestFit="1" customWidth="1"/>
    <col min="6893" max="6893" width="15.21875" style="66" customWidth="1"/>
    <col min="6894" max="6894" width="9.77734375" style="66" customWidth="1"/>
    <col min="6895" max="6895" width="41.21875" style="66" customWidth="1"/>
    <col min="6896" max="6896" width="41.44140625" style="66" customWidth="1"/>
    <col min="6897" max="6898" width="22.44140625" style="66" customWidth="1"/>
    <col min="6899" max="6899" width="30.44140625" style="66" customWidth="1"/>
    <col min="6900" max="6900" width="33.21875" style="66" customWidth="1"/>
    <col min="6901" max="6901" width="21.21875" style="66" customWidth="1"/>
    <col min="6902" max="7142" width="9.21875" style="66"/>
    <col min="7143" max="7143" width="2.77734375" style="66" customWidth="1"/>
    <col min="7144" max="7144" width="7.21875" style="66" customWidth="1"/>
    <col min="7145" max="7145" width="23.77734375" style="66" customWidth="1"/>
    <col min="7146" max="7146" width="17.21875" style="66" customWidth="1"/>
    <col min="7147" max="7147" width="15" style="66" customWidth="1"/>
    <col min="7148" max="7148" width="18.77734375" style="66" bestFit="1" customWidth="1"/>
    <col min="7149" max="7149" width="15.21875" style="66" customWidth="1"/>
    <col min="7150" max="7150" width="9.77734375" style="66" customWidth="1"/>
    <col min="7151" max="7151" width="41.21875" style="66" customWidth="1"/>
    <col min="7152" max="7152" width="41.44140625" style="66" customWidth="1"/>
    <col min="7153" max="7154" width="22.44140625" style="66" customWidth="1"/>
    <col min="7155" max="7155" width="30.44140625" style="66" customWidth="1"/>
    <col min="7156" max="7156" width="33.21875" style="66" customWidth="1"/>
    <col min="7157" max="7157" width="21.21875" style="66" customWidth="1"/>
    <col min="7158" max="7398" width="9.21875" style="66"/>
    <col min="7399" max="7399" width="2.77734375" style="66" customWidth="1"/>
    <col min="7400" max="7400" width="7.21875" style="66" customWidth="1"/>
    <col min="7401" max="7401" width="23.77734375" style="66" customWidth="1"/>
    <col min="7402" max="7402" width="17.21875" style="66" customWidth="1"/>
    <col min="7403" max="7403" width="15" style="66" customWidth="1"/>
    <col min="7404" max="7404" width="18.77734375" style="66" bestFit="1" customWidth="1"/>
    <col min="7405" max="7405" width="15.21875" style="66" customWidth="1"/>
    <col min="7406" max="7406" width="9.77734375" style="66" customWidth="1"/>
    <col min="7407" max="7407" width="41.21875" style="66" customWidth="1"/>
    <col min="7408" max="7408" width="41.44140625" style="66" customWidth="1"/>
    <col min="7409" max="7410" width="22.44140625" style="66" customWidth="1"/>
    <col min="7411" max="7411" width="30.44140625" style="66" customWidth="1"/>
    <col min="7412" max="7412" width="33.21875" style="66" customWidth="1"/>
    <col min="7413" max="7413" width="21.21875" style="66" customWidth="1"/>
    <col min="7414" max="7654" width="9.21875" style="66"/>
    <col min="7655" max="7655" width="2.77734375" style="66" customWidth="1"/>
    <col min="7656" max="7656" width="7.21875" style="66" customWidth="1"/>
    <col min="7657" max="7657" width="23.77734375" style="66" customWidth="1"/>
    <col min="7658" max="7658" width="17.21875" style="66" customWidth="1"/>
    <col min="7659" max="7659" width="15" style="66" customWidth="1"/>
    <col min="7660" max="7660" width="18.77734375" style="66" bestFit="1" customWidth="1"/>
    <col min="7661" max="7661" width="15.21875" style="66" customWidth="1"/>
    <col min="7662" max="7662" width="9.77734375" style="66" customWidth="1"/>
    <col min="7663" max="7663" width="41.21875" style="66" customWidth="1"/>
    <col min="7664" max="7664" width="41.44140625" style="66" customWidth="1"/>
    <col min="7665" max="7666" width="22.44140625" style="66" customWidth="1"/>
    <col min="7667" max="7667" width="30.44140625" style="66" customWidth="1"/>
    <col min="7668" max="7668" width="33.21875" style="66" customWidth="1"/>
    <col min="7669" max="7669" width="21.21875" style="66" customWidth="1"/>
    <col min="7670" max="7910" width="9.21875" style="66"/>
    <col min="7911" max="7911" width="2.77734375" style="66" customWidth="1"/>
    <col min="7912" max="7912" width="7.21875" style="66" customWidth="1"/>
    <col min="7913" max="7913" width="23.77734375" style="66" customWidth="1"/>
    <col min="7914" max="7914" width="17.21875" style="66" customWidth="1"/>
    <col min="7915" max="7915" width="15" style="66" customWidth="1"/>
    <col min="7916" max="7916" width="18.77734375" style="66" bestFit="1" customWidth="1"/>
    <col min="7917" max="7917" width="15.21875" style="66" customWidth="1"/>
    <col min="7918" max="7918" width="9.77734375" style="66" customWidth="1"/>
    <col min="7919" max="7919" width="41.21875" style="66" customWidth="1"/>
    <col min="7920" max="7920" width="41.44140625" style="66" customWidth="1"/>
    <col min="7921" max="7922" width="22.44140625" style="66" customWidth="1"/>
    <col min="7923" max="7923" width="30.44140625" style="66" customWidth="1"/>
    <col min="7924" max="7924" width="33.21875" style="66" customWidth="1"/>
    <col min="7925" max="7925" width="21.21875" style="66" customWidth="1"/>
    <col min="7926" max="8166" width="9.21875" style="66"/>
    <col min="8167" max="8167" width="2.77734375" style="66" customWidth="1"/>
    <col min="8168" max="8168" width="7.21875" style="66" customWidth="1"/>
    <col min="8169" max="8169" width="23.77734375" style="66" customWidth="1"/>
    <col min="8170" max="8170" width="17.21875" style="66" customWidth="1"/>
    <col min="8171" max="8171" width="15" style="66" customWidth="1"/>
    <col min="8172" max="8172" width="18.77734375" style="66" bestFit="1" customWidth="1"/>
    <col min="8173" max="8173" width="15.21875" style="66" customWidth="1"/>
    <col min="8174" max="8174" width="9.77734375" style="66" customWidth="1"/>
    <col min="8175" max="8175" width="41.21875" style="66" customWidth="1"/>
    <col min="8176" max="8176" width="41.44140625" style="66" customWidth="1"/>
    <col min="8177" max="8178" width="22.44140625" style="66" customWidth="1"/>
    <col min="8179" max="8179" width="30.44140625" style="66" customWidth="1"/>
    <col min="8180" max="8180" width="33.21875" style="66" customWidth="1"/>
    <col min="8181" max="8181" width="21.21875" style="66" customWidth="1"/>
    <col min="8182" max="8422" width="9.21875" style="66"/>
    <col min="8423" max="8423" width="2.77734375" style="66" customWidth="1"/>
    <col min="8424" max="8424" width="7.21875" style="66" customWidth="1"/>
    <col min="8425" max="8425" width="23.77734375" style="66" customWidth="1"/>
    <col min="8426" max="8426" width="17.21875" style="66" customWidth="1"/>
    <col min="8427" max="8427" width="15" style="66" customWidth="1"/>
    <col min="8428" max="8428" width="18.77734375" style="66" bestFit="1" customWidth="1"/>
    <col min="8429" max="8429" width="15.21875" style="66" customWidth="1"/>
    <col min="8430" max="8430" width="9.77734375" style="66" customWidth="1"/>
    <col min="8431" max="8431" width="41.21875" style="66" customWidth="1"/>
    <col min="8432" max="8432" width="41.44140625" style="66" customWidth="1"/>
    <col min="8433" max="8434" width="22.44140625" style="66" customWidth="1"/>
    <col min="8435" max="8435" width="30.44140625" style="66" customWidth="1"/>
    <col min="8436" max="8436" width="33.21875" style="66" customWidth="1"/>
    <col min="8437" max="8437" width="21.21875" style="66" customWidth="1"/>
    <col min="8438" max="8678" width="9.21875" style="66"/>
    <col min="8679" max="8679" width="2.77734375" style="66" customWidth="1"/>
    <col min="8680" max="8680" width="7.21875" style="66" customWidth="1"/>
    <col min="8681" max="8681" width="23.77734375" style="66" customWidth="1"/>
    <col min="8682" max="8682" width="17.21875" style="66" customWidth="1"/>
    <col min="8683" max="8683" width="15" style="66" customWidth="1"/>
    <col min="8684" max="8684" width="18.77734375" style="66" bestFit="1" customWidth="1"/>
    <col min="8685" max="8685" width="15.21875" style="66" customWidth="1"/>
    <col min="8686" max="8686" width="9.77734375" style="66" customWidth="1"/>
    <col min="8687" max="8687" width="41.21875" style="66" customWidth="1"/>
    <col min="8688" max="8688" width="41.44140625" style="66" customWidth="1"/>
    <col min="8689" max="8690" width="22.44140625" style="66" customWidth="1"/>
    <col min="8691" max="8691" width="30.44140625" style="66" customWidth="1"/>
    <col min="8692" max="8692" width="33.21875" style="66" customWidth="1"/>
    <col min="8693" max="8693" width="21.21875" style="66" customWidth="1"/>
    <col min="8694" max="8934" width="9.21875" style="66"/>
    <col min="8935" max="8935" width="2.77734375" style="66" customWidth="1"/>
    <col min="8936" max="8936" width="7.21875" style="66" customWidth="1"/>
    <col min="8937" max="8937" width="23.77734375" style="66" customWidth="1"/>
    <col min="8938" max="8938" width="17.21875" style="66" customWidth="1"/>
    <col min="8939" max="8939" width="15" style="66" customWidth="1"/>
    <col min="8940" max="8940" width="18.77734375" style="66" bestFit="1" customWidth="1"/>
    <col min="8941" max="8941" width="15.21875" style="66" customWidth="1"/>
    <col min="8942" max="8942" width="9.77734375" style="66" customWidth="1"/>
    <col min="8943" max="8943" width="41.21875" style="66" customWidth="1"/>
    <col min="8944" max="8944" width="41.44140625" style="66" customWidth="1"/>
    <col min="8945" max="8946" width="22.44140625" style="66" customWidth="1"/>
    <col min="8947" max="8947" width="30.44140625" style="66" customWidth="1"/>
    <col min="8948" max="8948" width="33.21875" style="66" customWidth="1"/>
    <col min="8949" max="8949" width="21.21875" style="66" customWidth="1"/>
    <col min="8950" max="9190" width="9.21875" style="66"/>
    <col min="9191" max="9191" width="2.77734375" style="66" customWidth="1"/>
    <col min="9192" max="9192" width="7.21875" style="66" customWidth="1"/>
    <col min="9193" max="9193" width="23.77734375" style="66" customWidth="1"/>
    <col min="9194" max="9194" width="17.21875" style="66" customWidth="1"/>
    <col min="9195" max="9195" width="15" style="66" customWidth="1"/>
    <col min="9196" max="9196" width="18.77734375" style="66" bestFit="1" customWidth="1"/>
    <col min="9197" max="9197" width="15.21875" style="66" customWidth="1"/>
    <col min="9198" max="9198" width="9.77734375" style="66" customWidth="1"/>
    <col min="9199" max="9199" width="41.21875" style="66" customWidth="1"/>
    <col min="9200" max="9200" width="41.44140625" style="66" customWidth="1"/>
    <col min="9201" max="9202" width="22.44140625" style="66" customWidth="1"/>
    <col min="9203" max="9203" width="30.44140625" style="66" customWidth="1"/>
    <col min="9204" max="9204" width="33.21875" style="66" customWidth="1"/>
    <col min="9205" max="9205" width="21.21875" style="66" customWidth="1"/>
    <col min="9206" max="9446" width="9.21875" style="66"/>
    <col min="9447" max="9447" width="2.77734375" style="66" customWidth="1"/>
    <col min="9448" max="9448" width="7.21875" style="66" customWidth="1"/>
    <col min="9449" max="9449" width="23.77734375" style="66" customWidth="1"/>
    <col min="9450" max="9450" width="17.21875" style="66" customWidth="1"/>
    <col min="9451" max="9451" width="15" style="66" customWidth="1"/>
    <col min="9452" max="9452" width="18.77734375" style="66" bestFit="1" customWidth="1"/>
    <col min="9453" max="9453" width="15.21875" style="66" customWidth="1"/>
    <col min="9454" max="9454" width="9.77734375" style="66" customWidth="1"/>
    <col min="9455" max="9455" width="41.21875" style="66" customWidth="1"/>
    <col min="9456" max="9456" width="41.44140625" style="66" customWidth="1"/>
    <col min="9457" max="9458" width="22.44140625" style="66" customWidth="1"/>
    <col min="9459" max="9459" width="30.44140625" style="66" customWidth="1"/>
    <col min="9460" max="9460" width="33.21875" style="66" customWidth="1"/>
    <col min="9461" max="9461" width="21.21875" style="66" customWidth="1"/>
    <col min="9462" max="9702" width="9.21875" style="66"/>
    <col min="9703" max="9703" width="2.77734375" style="66" customWidth="1"/>
    <col min="9704" max="9704" width="7.21875" style="66" customWidth="1"/>
    <col min="9705" max="9705" width="23.77734375" style="66" customWidth="1"/>
    <col min="9706" max="9706" width="17.21875" style="66" customWidth="1"/>
    <col min="9707" max="9707" width="15" style="66" customWidth="1"/>
    <col min="9708" max="9708" width="18.77734375" style="66" bestFit="1" customWidth="1"/>
    <col min="9709" max="9709" width="15.21875" style="66" customWidth="1"/>
    <col min="9710" max="9710" width="9.77734375" style="66" customWidth="1"/>
    <col min="9711" max="9711" width="41.21875" style="66" customWidth="1"/>
    <col min="9712" max="9712" width="41.44140625" style="66" customWidth="1"/>
    <col min="9713" max="9714" width="22.44140625" style="66" customWidth="1"/>
    <col min="9715" max="9715" width="30.44140625" style="66" customWidth="1"/>
    <col min="9716" max="9716" width="33.21875" style="66" customWidth="1"/>
    <col min="9717" max="9717" width="21.21875" style="66" customWidth="1"/>
    <col min="9718" max="9958" width="9.21875" style="66"/>
    <col min="9959" max="9959" width="2.77734375" style="66" customWidth="1"/>
    <col min="9960" max="9960" width="7.21875" style="66" customWidth="1"/>
    <col min="9961" max="9961" width="23.77734375" style="66" customWidth="1"/>
    <col min="9962" max="9962" width="17.21875" style="66" customWidth="1"/>
    <col min="9963" max="9963" width="15" style="66" customWidth="1"/>
    <col min="9964" max="9964" width="18.77734375" style="66" bestFit="1" customWidth="1"/>
    <col min="9965" max="9965" width="15.21875" style="66" customWidth="1"/>
    <col min="9966" max="9966" width="9.77734375" style="66" customWidth="1"/>
    <col min="9967" max="9967" width="41.21875" style="66" customWidth="1"/>
    <col min="9968" max="9968" width="41.44140625" style="66" customWidth="1"/>
    <col min="9969" max="9970" width="22.44140625" style="66" customWidth="1"/>
    <col min="9971" max="9971" width="30.44140625" style="66" customWidth="1"/>
    <col min="9972" max="9972" width="33.21875" style="66" customWidth="1"/>
    <col min="9973" max="9973" width="21.21875" style="66" customWidth="1"/>
    <col min="9974" max="10214" width="9.21875" style="66"/>
    <col min="10215" max="10215" width="2.77734375" style="66" customWidth="1"/>
    <col min="10216" max="10216" width="7.21875" style="66" customWidth="1"/>
    <col min="10217" max="10217" width="23.77734375" style="66" customWidth="1"/>
    <col min="10218" max="10218" width="17.21875" style="66" customWidth="1"/>
    <col min="10219" max="10219" width="15" style="66" customWidth="1"/>
    <col min="10220" max="10220" width="18.77734375" style="66" bestFit="1" customWidth="1"/>
    <col min="10221" max="10221" width="15.21875" style="66" customWidth="1"/>
    <col min="10222" max="10222" width="9.77734375" style="66" customWidth="1"/>
    <col min="10223" max="10223" width="41.21875" style="66" customWidth="1"/>
    <col min="10224" max="10224" width="41.44140625" style="66" customWidth="1"/>
    <col min="10225" max="10226" width="22.44140625" style="66" customWidth="1"/>
    <col min="10227" max="10227" width="30.44140625" style="66" customWidth="1"/>
    <col min="10228" max="10228" width="33.21875" style="66" customWidth="1"/>
    <col min="10229" max="10229" width="21.21875" style="66" customWidth="1"/>
    <col min="10230" max="10470" width="9.21875" style="66"/>
    <col min="10471" max="10471" width="2.77734375" style="66" customWidth="1"/>
    <col min="10472" max="10472" width="7.21875" style="66" customWidth="1"/>
    <col min="10473" max="10473" width="23.77734375" style="66" customWidth="1"/>
    <col min="10474" max="10474" width="17.21875" style="66" customWidth="1"/>
    <col min="10475" max="10475" width="15" style="66" customWidth="1"/>
    <col min="10476" max="10476" width="18.77734375" style="66" bestFit="1" customWidth="1"/>
    <col min="10477" max="10477" width="15.21875" style="66" customWidth="1"/>
    <col min="10478" max="10478" width="9.77734375" style="66" customWidth="1"/>
    <col min="10479" max="10479" width="41.21875" style="66" customWidth="1"/>
    <col min="10480" max="10480" width="41.44140625" style="66" customWidth="1"/>
    <col min="10481" max="10482" width="22.44140625" style="66" customWidth="1"/>
    <col min="10483" max="10483" width="30.44140625" style="66" customWidth="1"/>
    <col min="10484" max="10484" width="33.21875" style="66" customWidth="1"/>
    <col min="10485" max="10485" width="21.21875" style="66" customWidth="1"/>
    <col min="10486" max="10726" width="9.21875" style="66"/>
    <col min="10727" max="10727" width="2.77734375" style="66" customWidth="1"/>
    <col min="10728" max="10728" width="7.21875" style="66" customWidth="1"/>
    <col min="10729" max="10729" width="23.77734375" style="66" customWidth="1"/>
    <col min="10730" max="10730" width="17.21875" style="66" customWidth="1"/>
    <col min="10731" max="10731" width="15" style="66" customWidth="1"/>
    <col min="10732" max="10732" width="18.77734375" style="66" bestFit="1" customWidth="1"/>
    <col min="10733" max="10733" width="15.21875" style="66" customWidth="1"/>
    <col min="10734" max="10734" width="9.77734375" style="66" customWidth="1"/>
    <col min="10735" max="10735" width="41.21875" style="66" customWidth="1"/>
    <col min="10736" max="10736" width="41.44140625" style="66" customWidth="1"/>
    <col min="10737" max="10738" width="22.44140625" style="66" customWidth="1"/>
    <col min="10739" max="10739" width="30.44140625" style="66" customWidth="1"/>
    <col min="10740" max="10740" width="33.21875" style="66" customWidth="1"/>
    <col min="10741" max="10741" width="21.21875" style="66" customWidth="1"/>
    <col min="10742" max="10982" width="9.21875" style="66"/>
    <col min="10983" max="10983" width="2.77734375" style="66" customWidth="1"/>
    <col min="10984" max="10984" width="7.21875" style="66" customWidth="1"/>
    <col min="10985" max="10985" width="23.77734375" style="66" customWidth="1"/>
    <col min="10986" max="10986" width="17.21875" style="66" customWidth="1"/>
    <col min="10987" max="10987" width="15" style="66" customWidth="1"/>
    <col min="10988" max="10988" width="18.77734375" style="66" bestFit="1" customWidth="1"/>
    <col min="10989" max="10989" width="15.21875" style="66" customWidth="1"/>
    <col min="10990" max="10990" width="9.77734375" style="66" customWidth="1"/>
    <col min="10991" max="10991" width="41.21875" style="66" customWidth="1"/>
    <col min="10992" max="10992" width="41.44140625" style="66" customWidth="1"/>
    <col min="10993" max="10994" width="22.44140625" style="66" customWidth="1"/>
    <col min="10995" max="10995" width="30.44140625" style="66" customWidth="1"/>
    <col min="10996" max="10996" width="33.21875" style="66" customWidth="1"/>
    <col min="10997" max="10997" width="21.21875" style="66" customWidth="1"/>
    <col min="10998" max="11238" width="9.21875" style="66"/>
    <col min="11239" max="11239" width="2.77734375" style="66" customWidth="1"/>
    <col min="11240" max="11240" width="7.21875" style="66" customWidth="1"/>
    <col min="11241" max="11241" width="23.77734375" style="66" customWidth="1"/>
    <col min="11242" max="11242" width="17.21875" style="66" customWidth="1"/>
    <col min="11243" max="11243" width="15" style="66" customWidth="1"/>
    <col min="11244" max="11244" width="18.77734375" style="66" bestFit="1" customWidth="1"/>
    <col min="11245" max="11245" width="15.21875" style="66" customWidth="1"/>
    <col min="11246" max="11246" width="9.77734375" style="66" customWidth="1"/>
    <col min="11247" max="11247" width="41.21875" style="66" customWidth="1"/>
    <col min="11248" max="11248" width="41.44140625" style="66" customWidth="1"/>
    <col min="11249" max="11250" width="22.44140625" style="66" customWidth="1"/>
    <col min="11251" max="11251" width="30.44140625" style="66" customWidth="1"/>
    <col min="11252" max="11252" width="33.21875" style="66" customWidth="1"/>
    <col min="11253" max="11253" width="21.21875" style="66" customWidth="1"/>
    <col min="11254" max="11494" width="9.21875" style="66"/>
    <col min="11495" max="11495" width="2.77734375" style="66" customWidth="1"/>
    <col min="11496" max="11496" width="7.21875" style="66" customWidth="1"/>
    <col min="11497" max="11497" width="23.77734375" style="66" customWidth="1"/>
    <col min="11498" max="11498" width="17.21875" style="66" customWidth="1"/>
    <col min="11499" max="11499" width="15" style="66" customWidth="1"/>
    <col min="11500" max="11500" width="18.77734375" style="66" bestFit="1" customWidth="1"/>
    <col min="11501" max="11501" width="15.21875" style="66" customWidth="1"/>
    <col min="11502" max="11502" width="9.77734375" style="66" customWidth="1"/>
    <col min="11503" max="11503" width="41.21875" style="66" customWidth="1"/>
    <col min="11504" max="11504" width="41.44140625" style="66" customWidth="1"/>
    <col min="11505" max="11506" width="22.44140625" style="66" customWidth="1"/>
    <col min="11507" max="11507" width="30.44140625" style="66" customWidth="1"/>
    <col min="11508" max="11508" width="33.21875" style="66" customWidth="1"/>
    <col min="11509" max="11509" width="21.21875" style="66" customWidth="1"/>
    <col min="11510" max="11750" width="9.21875" style="66"/>
    <col min="11751" max="11751" width="2.77734375" style="66" customWidth="1"/>
    <col min="11752" max="11752" width="7.21875" style="66" customWidth="1"/>
    <col min="11753" max="11753" width="23.77734375" style="66" customWidth="1"/>
    <col min="11754" max="11754" width="17.21875" style="66" customWidth="1"/>
    <col min="11755" max="11755" width="15" style="66" customWidth="1"/>
    <col min="11756" max="11756" width="18.77734375" style="66" bestFit="1" customWidth="1"/>
    <col min="11757" max="11757" width="15.21875" style="66" customWidth="1"/>
    <col min="11758" max="11758" width="9.77734375" style="66" customWidth="1"/>
    <col min="11759" max="11759" width="41.21875" style="66" customWidth="1"/>
    <col min="11760" max="11760" width="41.44140625" style="66" customWidth="1"/>
    <col min="11761" max="11762" width="22.44140625" style="66" customWidth="1"/>
    <col min="11763" max="11763" width="30.44140625" style="66" customWidth="1"/>
    <col min="11764" max="11764" width="33.21875" style="66" customWidth="1"/>
    <col min="11765" max="11765" width="21.21875" style="66" customWidth="1"/>
    <col min="11766" max="12006" width="9.21875" style="66"/>
    <col min="12007" max="12007" width="2.77734375" style="66" customWidth="1"/>
    <col min="12008" max="12008" width="7.21875" style="66" customWidth="1"/>
    <col min="12009" max="12009" width="23.77734375" style="66" customWidth="1"/>
    <col min="12010" max="12010" width="17.21875" style="66" customWidth="1"/>
    <col min="12011" max="12011" width="15" style="66" customWidth="1"/>
    <col min="12012" max="12012" width="18.77734375" style="66" bestFit="1" customWidth="1"/>
    <col min="12013" max="12013" width="15.21875" style="66" customWidth="1"/>
    <col min="12014" max="12014" width="9.77734375" style="66" customWidth="1"/>
    <col min="12015" max="12015" width="41.21875" style="66" customWidth="1"/>
    <col min="12016" max="12016" width="41.44140625" style="66" customWidth="1"/>
    <col min="12017" max="12018" width="22.44140625" style="66" customWidth="1"/>
    <col min="12019" max="12019" width="30.44140625" style="66" customWidth="1"/>
    <col min="12020" max="12020" width="33.21875" style="66" customWidth="1"/>
    <col min="12021" max="12021" width="21.21875" style="66" customWidth="1"/>
    <col min="12022" max="12262" width="9.21875" style="66"/>
    <col min="12263" max="12263" width="2.77734375" style="66" customWidth="1"/>
    <col min="12264" max="12264" width="7.21875" style="66" customWidth="1"/>
    <col min="12265" max="12265" width="23.77734375" style="66" customWidth="1"/>
    <col min="12266" max="12266" width="17.21875" style="66" customWidth="1"/>
    <col min="12267" max="12267" width="15" style="66" customWidth="1"/>
    <col min="12268" max="12268" width="18.77734375" style="66" bestFit="1" customWidth="1"/>
    <col min="12269" max="12269" width="15.21875" style="66" customWidth="1"/>
    <col min="12270" max="12270" width="9.77734375" style="66" customWidth="1"/>
    <col min="12271" max="12271" width="41.21875" style="66" customWidth="1"/>
    <col min="12272" max="12272" width="41.44140625" style="66" customWidth="1"/>
    <col min="12273" max="12274" width="22.44140625" style="66" customWidth="1"/>
    <col min="12275" max="12275" width="30.44140625" style="66" customWidth="1"/>
    <col min="12276" max="12276" width="33.21875" style="66" customWidth="1"/>
    <col min="12277" max="12277" width="21.21875" style="66" customWidth="1"/>
    <col min="12278" max="12518" width="9.21875" style="66"/>
    <col min="12519" max="12519" width="2.77734375" style="66" customWidth="1"/>
    <col min="12520" max="12520" width="7.21875" style="66" customWidth="1"/>
    <col min="12521" max="12521" width="23.77734375" style="66" customWidth="1"/>
    <col min="12522" max="12522" width="17.21875" style="66" customWidth="1"/>
    <col min="12523" max="12523" width="15" style="66" customWidth="1"/>
    <col min="12524" max="12524" width="18.77734375" style="66" bestFit="1" customWidth="1"/>
    <col min="12525" max="12525" width="15.21875" style="66" customWidth="1"/>
    <col min="12526" max="12526" width="9.77734375" style="66" customWidth="1"/>
    <col min="12527" max="12527" width="41.21875" style="66" customWidth="1"/>
    <col min="12528" max="12528" width="41.44140625" style="66" customWidth="1"/>
    <col min="12529" max="12530" width="22.44140625" style="66" customWidth="1"/>
    <col min="12531" max="12531" width="30.44140625" style="66" customWidth="1"/>
    <col min="12532" max="12532" width="33.21875" style="66" customWidth="1"/>
    <col min="12533" max="12533" width="21.21875" style="66" customWidth="1"/>
    <col min="12534" max="12774" width="9.21875" style="66"/>
    <col min="12775" max="12775" width="2.77734375" style="66" customWidth="1"/>
    <col min="12776" max="12776" width="7.21875" style="66" customWidth="1"/>
    <col min="12777" max="12777" width="23.77734375" style="66" customWidth="1"/>
    <col min="12778" max="12778" width="17.21875" style="66" customWidth="1"/>
    <col min="12779" max="12779" width="15" style="66" customWidth="1"/>
    <col min="12780" max="12780" width="18.77734375" style="66" bestFit="1" customWidth="1"/>
    <col min="12781" max="12781" width="15.21875" style="66" customWidth="1"/>
    <col min="12782" max="12782" width="9.77734375" style="66" customWidth="1"/>
    <col min="12783" max="12783" width="41.21875" style="66" customWidth="1"/>
    <col min="12784" max="12784" width="41.44140625" style="66" customWidth="1"/>
    <col min="12785" max="12786" width="22.44140625" style="66" customWidth="1"/>
    <col min="12787" max="12787" width="30.44140625" style="66" customWidth="1"/>
    <col min="12788" max="12788" width="33.21875" style="66" customWidth="1"/>
    <col min="12789" max="12789" width="21.21875" style="66" customWidth="1"/>
    <col min="12790" max="13030" width="9.21875" style="66"/>
    <col min="13031" max="13031" width="2.77734375" style="66" customWidth="1"/>
    <col min="13032" max="13032" width="7.21875" style="66" customWidth="1"/>
    <col min="13033" max="13033" width="23.77734375" style="66" customWidth="1"/>
    <col min="13034" max="13034" width="17.21875" style="66" customWidth="1"/>
    <col min="13035" max="13035" width="15" style="66" customWidth="1"/>
    <col min="13036" max="13036" width="18.77734375" style="66" bestFit="1" customWidth="1"/>
    <col min="13037" max="13037" width="15.21875" style="66" customWidth="1"/>
    <col min="13038" max="13038" width="9.77734375" style="66" customWidth="1"/>
    <col min="13039" max="13039" width="41.21875" style="66" customWidth="1"/>
    <col min="13040" max="13040" width="41.44140625" style="66" customWidth="1"/>
    <col min="13041" max="13042" width="22.44140625" style="66" customWidth="1"/>
    <col min="13043" max="13043" width="30.44140625" style="66" customWidth="1"/>
    <col min="13044" max="13044" width="33.21875" style="66" customWidth="1"/>
    <col min="13045" max="13045" width="21.21875" style="66" customWidth="1"/>
    <col min="13046" max="13286" width="9.21875" style="66"/>
    <col min="13287" max="13287" width="2.77734375" style="66" customWidth="1"/>
    <col min="13288" max="13288" width="7.21875" style="66" customWidth="1"/>
    <col min="13289" max="13289" width="23.77734375" style="66" customWidth="1"/>
    <col min="13290" max="13290" width="17.21875" style="66" customWidth="1"/>
    <col min="13291" max="13291" width="15" style="66" customWidth="1"/>
    <col min="13292" max="13292" width="18.77734375" style="66" bestFit="1" customWidth="1"/>
    <col min="13293" max="13293" width="15.21875" style="66" customWidth="1"/>
    <col min="13294" max="13294" width="9.77734375" style="66" customWidth="1"/>
    <col min="13295" max="13295" width="41.21875" style="66" customWidth="1"/>
    <col min="13296" max="13296" width="41.44140625" style="66" customWidth="1"/>
    <col min="13297" max="13298" width="22.44140625" style="66" customWidth="1"/>
    <col min="13299" max="13299" width="30.44140625" style="66" customWidth="1"/>
    <col min="13300" max="13300" width="33.21875" style="66" customWidth="1"/>
    <col min="13301" max="13301" width="21.21875" style="66" customWidth="1"/>
    <col min="13302" max="13542" width="9.21875" style="66"/>
    <col min="13543" max="13543" width="2.77734375" style="66" customWidth="1"/>
    <col min="13544" max="13544" width="7.21875" style="66" customWidth="1"/>
    <col min="13545" max="13545" width="23.77734375" style="66" customWidth="1"/>
    <col min="13546" max="13546" width="17.21875" style="66" customWidth="1"/>
    <col min="13547" max="13547" width="15" style="66" customWidth="1"/>
    <col min="13548" max="13548" width="18.77734375" style="66" bestFit="1" customWidth="1"/>
    <col min="13549" max="13549" width="15.21875" style="66" customWidth="1"/>
    <col min="13550" max="13550" width="9.77734375" style="66" customWidth="1"/>
    <col min="13551" max="13551" width="41.21875" style="66" customWidth="1"/>
    <col min="13552" max="13552" width="41.44140625" style="66" customWidth="1"/>
    <col min="13553" max="13554" width="22.44140625" style="66" customWidth="1"/>
    <col min="13555" max="13555" width="30.44140625" style="66" customWidth="1"/>
    <col min="13556" max="13556" width="33.21875" style="66" customWidth="1"/>
    <col min="13557" max="13557" width="21.21875" style="66" customWidth="1"/>
    <col min="13558" max="13798" width="9.21875" style="66"/>
    <col min="13799" max="13799" width="2.77734375" style="66" customWidth="1"/>
    <col min="13800" max="13800" width="7.21875" style="66" customWidth="1"/>
    <col min="13801" max="13801" width="23.77734375" style="66" customWidth="1"/>
    <col min="13802" max="13802" width="17.21875" style="66" customWidth="1"/>
    <col min="13803" max="13803" width="15" style="66" customWidth="1"/>
    <col min="13804" max="13804" width="18.77734375" style="66" bestFit="1" customWidth="1"/>
    <col min="13805" max="13805" width="15.21875" style="66" customWidth="1"/>
    <col min="13806" max="13806" width="9.77734375" style="66" customWidth="1"/>
    <col min="13807" max="13807" width="41.21875" style="66" customWidth="1"/>
    <col min="13808" max="13808" width="41.44140625" style="66" customWidth="1"/>
    <col min="13809" max="13810" width="22.44140625" style="66" customWidth="1"/>
    <col min="13811" max="13811" width="30.44140625" style="66" customWidth="1"/>
    <col min="13812" max="13812" width="33.21875" style="66" customWidth="1"/>
    <col min="13813" max="13813" width="21.21875" style="66" customWidth="1"/>
    <col min="13814" max="14054" width="9.21875" style="66"/>
    <col min="14055" max="14055" width="2.77734375" style="66" customWidth="1"/>
    <col min="14056" max="14056" width="7.21875" style="66" customWidth="1"/>
    <col min="14057" max="14057" width="23.77734375" style="66" customWidth="1"/>
    <col min="14058" max="14058" width="17.21875" style="66" customWidth="1"/>
    <col min="14059" max="14059" width="15" style="66" customWidth="1"/>
    <col min="14060" max="14060" width="18.77734375" style="66" bestFit="1" customWidth="1"/>
    <col min="14061" max="14061" width="15.21875" style="66" customWidth="1"/>
    <col min="14062" max="14062" width="9.77734375" style="66" customWidth="1"/>
    <col min="14063" max="14063" width="41.21875" style="66" customWidth="1"/>
    <col min="14064" max="14064" width="41.44140625" style="66" customWidth="1"/>
    <col min="14065" max="14066" width="22.44140625" style="66" customWidth="1"/>
    <col min="14067" max="14067" width="30.44140625" style="66" customWidth="1"/>
    <col min="14068" max="14068" width="33.21875" style="66" customWidth="1"/>
    <col min="14069" max="14069" width="21.21875" style="66" customWidth="1"/>
    <col min="14070" max="14310" width="9.21875" style="66"/>
    <col min="14311" max="14311" width="2.77734375" style="66" customWidth="1"/>
    <col min="14312" max="14312" width="7.21875" style="66" customWidth="1"/>
    <col min="14313" max="14313" width="23.77734375" style="66" customWidth="1"/>
    <col min="14314" max="14314" width="17.21875" style="66" customWidth="1"/>
    <col min="14315" max="14315" width="15" style="66" customWidth="1"/>
    <col min="14316" max="14316" width="18.77734375" style="66" bestFit="1" customWidth="1"/>
    <col min="14317" max="14317" width="15.21875" style="66" customWidth="1"/>
    <col min="14318" max="14318" width="9.77734375" style="66" customWidth="1"/>
    <col min="14319" max="14319" width="41.21875" style="66" customWidth="1"/>
    <col min="14320" max="14320" width="41.44140625" style="66" customWidth="1"/>
    <col min="14321" max="14322" width="22.44140625" style="66" customWidth="1"/>
    <col min="14323" max="14323" width="30.44140625" style="66" customWidth="1"/>
    <col min="14324" max="14324" width="33.21875" style="66" customWidth="1"/>
    <col min="14325" max="14325" width="21.21875" style="66" customWidth="1"/>
    <col min="14326" max="14566" width="9.21875" style="66"/>
    <col min="14567" max="14567" width="2.77734375" style="66" customWidth="1"/>
    <col min="14568" max="14568" width="7.21875" style="66" customWidth="1"/>
    <col min="14569" max="14569" width="23.77734375" style="66" customWidth="1"/>
    <col min="14570" max="14570" width="17.21875" style="66" customWidth="1"/>
    <col min="14571" max="14571" width="15" style="66" customWidth="1"/>
    <col min="14572" max="14572" width="18.77734375" style="66" bestFit="1" customWidth="1"/>
    <col min="14573" max="14573" width="15.21875" style="66" customWidth="1"/>
    <col min="14574" max="14574" width="9.77734375" style="66" customWidth="1"/>
    <col min="14575" max="14575" width="41.21875" style="66" customWidth="1"/>
    <col min="14576" max="14576" width="41.44140625" style="66" customWidth="1"/>
    <col min="14577" max="14578" width="22.44140625" style="66" customWidth="1"/>
    <col min="14579" max="14579" width="30.44140625" style="66" customWidth="1"/>
    <col min="14580" max="14580" width="33.21875" style="66" customWidth="1"/>
    <col min="14581" max="14581" width="21.21875" style="66" customWidth="1"/>
    <col min="14582" max="14822" width="9.21875" style="66"/>
    <col min="14823" max="14823" width="2.77734375" style="66" customWidth="1"/>
    <col min="14824" max="14824" width="7.21875" style="66" customWidth="1"/>
    <col min="14825" max="14825" width="23.77734375" style="66" customWidth="1"/>
    <col min="14826" max="14826" width="17.21875" style="66" customWidth="1"/>
    <col min="14827" max="14827" width="15" style="66" customWidth="1"/>
    <col min="14828" max="14828" width="18.77734375" style="66" bestFit="1" customWidth="1"/>
    <col min="14829" max="14829" width="15.21875" style="66" customWidth="1"/>
    <col min="14830" max="14830" width="9.77734375" style="66" customWidth="1"/>
    <col min="14831" max="14831" width="41.21875" style="66" customWidth="1"/>
    <col min="14832" max="14832" width="41.44140625" style="66" customWidth="1"/>
    <col min="14833" max="14834" width="22.44140625" style="66" customWidth="1"/>
    <col min="14835" max="14835" width="30.44140625" style="66" customWidth="1"/>
    <col min="14836" max="14836" width="33.21875" style="66" customWidth="1"/>
    <col min="14837" max="14837" width="21.21875" style="66" customWidth="1"/>
    <col min="14838" max="15078" width="9.21875" style="66"/>
    <col min="15079" max="15079" width="2.77734375" style="66" customWidth="1"/>
    <col min="15080" max="15080" width="7.21875" style="66" customWidth="1"/>
    <col min="15081" max="15081" width="23.77734375" style="66" customWidth="1"/>
    <col min="15082" max="15082" width="17.21875" style="66" customWidth="1"/>
    <col min="15083" max="15083" width="15" style="66" customWidth="1"/>
    <col min="15084" max="15084" width="18.77734375" style="66" bestFit="1" customWidth="1"/>
    <col min="15085" max="15085" width="15.21875" style="66" customWidth="1"/>
    <col min="15086" max="15086" width="9.77734375" style="66" customWidth="1"/>
    <col min="15087" max="15087" width="41.21875" style="66" customWidth="1"/>
    <col min="15088" max="15088" width="41.44140625" style="66" customWidth="1"/>
    <col min="15089" max="15090" width="22.44140625" style="66" customWidth="1"/>
    <col min="15091" max="15091" width="30.44140625" style="66" customWidth="1"/>
    <col min="15092" max="15092" width="33.21875" style="66" customWidth="1"/>
    <col min="15093" max="15093" width="21.21875" style="66" customWidth="1"/>
    <col min="15094" max="15334" width="9.21875" style="66"/>
    <col min="15335" max="15335" width="2.77734375" style="66" customWidth="1"/>
    <col min="15336" max="15336" width="7.21875" style="66" customWidth="1"/>
    <col min="15337" max="15337" width="23.77734375" style="66" customWidth="1"/>
    <col min="15338" max="15338" width="17.21875" style="66" customWidth="1"/>
    <col min="15339" max="15339" width="15" style="66" customWidth="1"/>
    <col min="15340" max="15340" width="18.77734375" style="66" bestFit="1" customWidth="1"/>
    <col min="15341" max="15341" width="15.21875" style="66" customWidth="1"/>
    <col min="15342" max="15342" width="9.77734375" style="66" customWidth="1"/>
    <col min="15343" max="15343" width="41.21875" style="66" customWidth="1"/>
    <col min="15344" max="15344" width="41.44140625" style="66" customWidth="1"/>
    <col min="15345" max="15346" width="22.44140625" style="66" customWidth="1"/>
    <col min="15347" max="15347" width="30.44140625" style="66" customWidth="1"/>
    <col min="15348" max="15348" width="33.21875" style="66" customWidth="1"/>
    <col min="15349" max="15349" width="21.21875" style="66" customWidth="1"/>
    <col min="15350" max="15590" width="9.21875" style="66"/>
    <col min="15591" max="15591" width="2.77734375" style="66" customWidth="1"/>
    <col min="15592" max="15592" width="7.21875" style="66" customWidth="1"/>
    <col min="15593" max="15593" width="23.77734375" style="66" customWidth="1"/>
    <col min="15594" max="15594" width="17.21875" style="66" customWidth="1"/>
    <col min="15595" max="15595" width="15" style="66" customWidth="1"/>
    <col min="15596" max="15596" width="18.77734375" style="66" bestFit="1" customWidth="1"/>
    <col min="15597" max="15597" width="15.21875" style="66" customWidth="1"/>
    <col min="15598" max="15598" width="9.77734375" style="66" customWidth="1"/>
    <col min="15599" max="15599" width="41.21875" style="66" customWidth="1"/>
    <col min="15600" max="15600" width="41.44140625" style="66" customWidth="1"/>
    <col min="15601" max="15602" width="22.44140625" style="66" customWidth="1"/>
    <col min="15603" max="15603" width="30.44140625" style="66" customWidth="1"/>
    <col min="15604" max="15604" width="33.21875" style="66" customWidth="1"/>
    <col min="15605" max="15605" width="21.21875" style="66" customWidth="1"/>
    <col min="15606" max="15846" width="9.21875" style="66"/>
    <col min="15847" max="15847" width="2.77734375" style="66" customWidth="1"/>
    <col min="15848" max="15848" width="7.21875" style="66" customWidth="1"/>
    <col min="15849" max="15849" width="23.77734375" style="66" customWidth="1"/>
    <col min="15850" max="15850" width="17.21875" style="66" customWidth="1"/>
    <col min="15851" max="15851" width="15" style="66" customWidth="1"/>
    <col min="15852" max="15852" width="18.77734375" style="66" bestFit="1" customWidth="1"/>
    <col min="15853" max="15853" width="15.21875" style="66" customWidth="1"/>
    <col min="15854" max="15854" width="9.77734375" style="66" customWidth="1"/>
    <col min="15855" max="15855" width="41.21875" style="66" customWidth="1"/>
    <col min="15856" max="15856" width="41.44140625" style="66" customWidth="1"/>
    <col min="15857" max="15858" width="22.44140625" style="66" customWidth="1"/>
    <col min="15859" max="15859" width="30.44140625" style="66" customWidth="1"/>
    <col min="15860" max="15860" width="33.21875" style="66" customWidth="1"/>
    <col min="15861" max="15861" width="21.21875" style="66" customWidth="1"/>
    <col min="15862" max="16102" width="9.21875" style="66"/>
    <col min="16103" max="16103" width="2.77734375" style="66" customWidth="1"/>
    <col min="16104" max="16104" width="7.21875" style="66" customWidth="1"/>
    <col min="16105" max="16105" width="23.77734375" style="66" customWidth="1"/>
    <col min="16106" max="16106" width="17.21875" style="66" customWidth="1"/>
    <col min="16107" max="16107" width="15" style="66" customWidth="1"/>
    <col min="16108" max="16108" width="18.77734375" style="66" bestFit="1" customWidth="1"/>
    <col min="16109" max="16109" width="15.21875" style="66" customWidth="1"/>
    <col min="16110" max="16110" width="9.77734375" style="66" customWidth="1"/>
    <col min="16111" max="16111" width="41.21875" style="66" customWidth="1"/>
    <col min="16112" max="16112" width="41.44140625" style="66" customWidth="1"/>
    <col min="16113" max="16114" width="22.44140625" style="66" customWidth="1"/>
    <col min="16115" max="16115" width="30.44140625" style="66" customWidth="1"/>
    <col min="16116" max="16116" width="33.21875" style="66" customWidth="1"/>
    <col min="16117" max="16117" width="21.21875" style="66" customWidth="1"/>
    <col min="16118" max="16384" width="9.21875" style="66"/>
  </cols>
  <sheetData>
    <row r="2" spans="2:16" ht="90" customHeight="1" x14ac:dyDescent="0.45">
      <c r="B2" s="82" t="s">
        <v>46</v>
      </c>
      <c r="C2" s="82"/>
      <c r="D2" s="82"/>
      <c r="E2" s="82"/>
      <c r="F2" s="82"/>
      <c r="G2" s="82"/>
      <c r="H2" s="82" t="str">
        <f>Cover!B54&amp;" "&amp;Cover!B55</f>
        <v>PROJECT: DESIGN AND CONSTRUCTION FOR DHANKI TO TOKRALA (UPTO NATIONAL HIGHWAY CROSSING) BULK PIPELINE 45 KMS INCLUDING CONSTRUCTION OF RCC U/G SUMP, PUMP HOUSE, SITC OF PUMPING MACHINERY AND ANCILLARY WORKS AT DHANKI PUMPING STATION WITH 10 YEARS COMPREHENSIVE OPERATION &amp; MAINTENANCE UNDER DHANKI TO NAVDA PIPELINE PROJECT (PACKAGE NO-1 NC 42)</v>
      </c>
      <c r="I2" s="82"/>
      <c r="J2" s="82"/>
      <c r="K2" s="82"/>
      <c r="L2" s="82"/>
      <c r="M2" s="82"/>
      <c r="N2" s="82"/>
      <c r="O2" s="82" t="s">
        <v>0</v>
      </c>
      <c r="P2" s="82"/>
    </row>
    <row r="3" spans="2:16" ht="60" customHeight="1" x14ac:dyDescent="0.45">
      <c r="B3" s="62" t="s">
        <v>48</v>
      </c>
      <c r="C3" s="82" t="str">
        <f>Cover!$B$51</f>
        <v>GUJARAT WATER INFRASTRUCTURE LIMITED (GWIL), GANDHINAGAR</v>
      </c>
      <c r="D3" s="82"/>
      <c r="E3" s="82"/>
      <c r="F3" s="82"/>
      <c r="G3" s="82"/>
      <c r="H3" s="82" t="s">
        <v>119</v>
      </c>
      <c r="I3" s="82"/>
      <c r="J3" s="82"/>
      <c r="K3" s="82"/>
      <c r="L3" s="82"/>
      <c r="M3" s="82"/>
      <c r="N3" s="82"/>
      <c r="O3" s="82" t="s">
        <v>1</v>
      </c>
      <c r="P3" s="82"/>
    </row>
    <row r="4" spans="2:16" ht="60" customHeight="1" x14ac:dyDescent="0.45">
      <c r="B4" s="85" t="s">
        <v>52</v>
      </c>
      <c r="C4" s="85"/>
      <c r="D4" s="85"/>
      <c r="E4" s="85"/>
      <c r="F4" s="85"/>
      <c r="G4" s="85"/>
      <c r="H4" s="82" t="str">
        <f>"DOCUMENT NO: "&amp;_xlfn.CONCAT(Cover!D65:AA65)</f>
        <v>DOCUMENT NO: LE22M232-I-WS-RW-CI-5010</v>
      </c>
      <c r="I4" s="82"/>
      <c r="J4" s="82"/>
      <c r="K4" s="82"/>
      <c r="L4" s="82"/>
      <c r="M4" s="82"/>
      <c r="N4" s="82"/>
      <c r="O4" s="158">
        <f>Cover!B45</f>
        <v>46023</v>
      </c>
      <c r="P4" s="82"/>
    </row>
    <row r="5" spans="2:16" ht="30" customHeight="1" x14ac:dyDescent="0.45">
      <c r="B5" s="83" t="s">
        <v>32</v>
      </c>
      <c r="C5" s="84" t="s">
        <v>50</v>
      </c>
      <c r="D5" s="84"/>
      <c r="E5" s="84"/>
      <c r="F5" s="84"/>
      <c r="G5" s="84"/>
      <c r="H5" s="84"/>
      <c r="I5" s="84"/>
      <c r="J5" s="82" t="s">
        <v>107</v>
      </c>
      <c r="K5" s="82" t="s">
        <v>110</v>
      </c>
      <c r="L5" s="84" t="s">
        <v>53</v>
      </c>
      <c r="M5" s="84"/>
      <c r="N5" s="84"/>
      <c r="O5" s="84"/>
      <c r="P5" s="83" t="s">
        <v>51</v>
      </c>
    </row>
    <row r="6" spans="2:16" ht="60" customHeight="1" x14ac:dyDescent="0.45">
      <c r="B6" s="83"/>
      <c r="C6" s="63" t="s">
        <v>4</v>
      </c>
      <c r="D6" s="63" t="s">
        <v>3</v>
      </c>
      <c r="E6" s="63" t="s">
        <v>37</v>
      </c>
      <c r="F6" s="63" t="s">
        <v>321</v>
      </c>
      <c r="G6" s="63" t="s">
        <v>322</v>
      </c>
      <c r="H6" s="63" t="s">
        <v>35</v>
      </c>
      <c r="I6" s="63" t="s">
        <v>36</v>
      </c>
      <c r="J6" s="84"/>
      <c r="K6" s="84"/>
      <c r="L6" s="63" t="s">
        <v>111</v>
      </c>
      <c r="M6" s="63" t="s">
        <v>23</v>
      </c>
      <c r="N6" s="63" t="s">
        <v>24</v>
      </c>
      <c r="O6" s="63" t="s">
        <v>25</v>
      </c>
      <c r="P6" s="83"/>
    </row>
    <row r="7" spans="2:16" ht="30" customHeight="1" x14ac:dyDescent="0.45">
      <c r="B7" s="86" t="s">
        <v>54</v>
      </c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</row>
    <row r="8" spans="2:16" ht="30" customHeight="1" x14ac:dyDescent="0.45">
      <c r="B8" s="88">
        <v>1</v>
      </c>
      <c r="C8" s="89" t="s">
        <v>149</v>
      </c>
      <c r="D8" s="89" t="s">
        <v>200</v>
      </c>
      <c r="E8" s="67" t="s">
        <v>13</v>
      </c>
      <c r="F8" s="77">
        <v>2</v>
      </c>
      <c r="G8" s="77">
        <v>0</v>
      </c>
      <c r="H8" s="69" t="str">
        <f>"1T"&amp;TEXT(F8,"00")&amp;TEXT(G8,"00")</f>
        <v>1T0200</v>
      </c>
      <c r="I8" s="65">
        <v>1</v>
      </c>
      <c r="J8" s="65" t="str">
        <f t="shared" ref="J8:J15" si="0">CONCATENATE(I8,"-",H8,"-","/",$M$8,"-",L8)</f>
        <v>1-1T0200-/MSG-01-42</v>
      </c>
      <c r="K8" s="65" t="str">
        <f>CONCATENATE(L8,"-",$M$8,"/","-",H8,"-",I8)</f>
        <v>42-MSG-01/-1T0200-1</v>
      </c>
      <c r="L8" s="65">
        <v>42</v>
      </c>
      <c r="M8" s="88" t="str">
        <f>C8</f>
        <v>MSG-01</v>
      </c>
      <c r="N8" s="159" t="s">
        <v>170</v>
      </c>
      <c r="O8" s="74" t="s">
        <v>172</v>
      </c>
      <c r="P8" s="89" t="str" cm="1">
        <f t="array" ref="P8">UPPER(
   "In PLC side, " &amp;
   _xlfn.TEXTJOIN(", ", TRUE,
      H8:INDEX(H8:H19, MATCH("COMMON",O8:O19,0)-2) &amp;
      ": " &amp;
      (I8:INDEX(I8:I19, MATCH("COMMON",O8:O19,0)-2)+1)
   ) &amp;
   " &amp; " &amp;
   INDEX(H8:H19, MATCH("COMMON",O8:O19,0)-1) &amp; ": " &amp;
   INDEX(I8:I19, MATCH("COMMON",O8:O19,0)-1)+1 &amp;
   " are already looped"
)</f>
        <v>IN PLC SIDE, 1T0200: 2, 1T0200: 4, 1T0200: 6 &amp; 1T0200: 8 ARE ALREADY LOOPED</v>
      </c>
    </row>
    <row r="9" spans="2:16" ht="30" customHeight="1" x14ac:dyDescent="0.45">
      <c r="B9" s="88"/>
      <c r="C9" s="89"/>
      <c r="D9" s="89"/>
      <c r="E9" s="67" t="s">
        <v>14</v>
      </c>
      <c r="F9" s="77">
        <v>2</v>
      </c>
      <c r="G9" s="77">
        <v>0</v>
      </c>
      <c r="H9" s="69" t="str">
        <f t="shared" ref="H9:H72" si="1">"1T"&amp;TEXT(F9,"00")&amp;TEXT(G9,"00")</f>
        <v>1T0200</v>
      </c>
      <c r="I9" s="65">
        <f>I8+2</f>
        <v>3</v>
      </c>
      <c r="J9" s="65" t="str">
        <f t="shared" si="0"/>
        <v>3-1T0200-/MSG-01-38</v>
      </c>
      <c r="K9" s="65" t="str">
        <f>CONCATENATE(L9,"-",$M$8,"/","-",H9,"-",I9)</f>
        <v>38-MSG-01/-1T0200-3</v>
      </c>
      <c r="L9" s="73">
        <v>38</v>
      </c>
      <c r="M9" s="88"/>
      <c r="N9" s="159"/>
      <c r="O9" s="74" t="s">
        <v>173</v>
      </c>
      <c r="P9" s="89"/>
    </row>
    <row r="10" spans="2:16" ht="30" customHeight="1" x14ac:dyDescent="0.45">
      <c r="B10" s="88"/>
      <c r="C10" s="89"/>
      <c r="D10" s="89"/>
      <c r="E10" s="67" t="s">
        <v>15</v>
      </c>
      <c r="F10" s="77">
        <v>2</v>
      </c>
      <c r="G10" s="77">
        <v>0</v>
      </c>
      <c r="H10" s="69" t="str">
        <f t="shared" si="1"/>
        <v>1T0200</v>
      </c>
      <c r="I10" s="65">
        <f>I9+2</f>
        <v>5</v>
      </c>
      <c r="J10" s="65" t="str">
        <f t="shared" si="0"/>
        <v>5-1T0200-/MSG-01-15</v>
      </c>
      <c r="K10" s="65" t="str">
        <f>CONCATENATE(L10,"-",$M$8,"/","-",H10,"-",I10)</f>
        <v>15-MSG-01/-1T0200-5</v>
      </c>
      <c r="L10" s="73">
        <v>15</v>
      </c>
      <c r="M10" s="88"/>
      <c r="N10" s="159"/>
      <c r="O10" s="74" t="s">
        <v>174</v>
      </c>
      <c r="P10" s="89"/>
    </row>
    <row r="11" spans="2:16" ht="30" customHeight="1" x14ac:dyDescent="0.45">
      <c r="B11" s="88"/>
      <c r="C11" s="89"/>
      <c r="D11" s="89"/>
      <c r="E11" s="67" t="s">
        <v>16</v>
      </c>
      <c r="F11" s="77">
        <v>2</v>
      </c>
      <c r="G11" s="77">
        <v>0</v>
      </c>
      <c r="H11" s="69" t="str">
        <f t="shared" si="1"/>
        <v>1T0200</v>
      </c>
      <c r="I11" s="65">
        <f>I10+2</f>
        <v>7</v>
      </c>
      <c r="J11" s="65" t="str">
        <f t="shared" si="0"/>
        <v>7-1T0200-/MSG-01-19</v>
      </c>
      <c r="K11" s="65" t="str">
        <f>CONCATENATE(L11,"-",$M$8,"/","-",H11,"-",I11)</f>
        <v>19-MSG-01/-1T0200-7</v>
      </c>
      <c r="L11" s="73">
        <v>19</v>
      </c>
      <c r="M11" s="88"/>
      <c r="N11" s="159"/>
      <c r="O11" s="74" t="s">
        <v>175</v>
      </c>
      <c r="P11" s="89"/>
    </row>
    <row r="12" spans="2:16" ht="30" customHeight="1" x14ac:dyDescent="0.45">
      <c r="B12" s="88"/>
      <c r="C12" s="89"/>
      <c r="D12" s="89"/>
      <c r="E12" s="67" t="s">
        <v>17</v>
      </c>
      <c r="F12" s="77">
        <v>2</v>
      </c>
      <c r="G12" s="77">
        <v>0</v>
      </c>
      <c r="H12" s="69" t="str">
        <f t="shared" si="1"/>
        <v>1T0200</v>
      </c>
      <c r="I12" s="65">
        <f>I11+1</f>
        <v>8</v>
      </c>
      <c r="J12" s="65" t="str">
        <f t="shared" si="0"/>
        <v>8-1T0200-/MSG-01-22</v>
      </c>
      <c r="K12" s="65" t="str">
        <f>CONCATENATE(L12,"-",$M$8,"/","-",H12,"-",I12)</f>
        <v>22-MSG-01/-1T0200-8</v>
      </c>
      <c r="L12" s="73">
        <v>22</v>
      </c>
      <c r="M12" s="88"/>
      <c r="N12" s="159"/>
      <c r="O12" s="71" t="s">
        <v>31</v>
      </c>
      <c r="P12" s="89"/>
    </row>
    <row r="13" spans="2:16" ht="30" customHeight="1" x14ac:dyDescent="0.45">
      <c r="B13" s="88"/>
      <c r="C13" s="89"/>
      <c r="D13" s="89"/>
      <c r="E13" s="67" t="s">
        <v>18</v>
      </c>
      <c r="F13" s="77">
        <v>4</v>
      </c>
      <c r="G13" s="77">
        <v>2</v>
      </c>
      <c r="H13" s="69" t="str">
        <f t="shared" si="1"/>
        <v>1T0402</v>
      </c>
      <c r="I13" s="65">
        <v>21</v>
      </c>
      <c r="J13" s="65" t="str">
        <f t="shared" si="0"/>
        <v>21-1T0402-/MSG-01-5</v>
      </c>
      <c r="K13" s="65" t="str">
        <f t="shared" ref="K13:K14" si="2">CONCATENATE(L13,"-",$M$8,"/","-",H13,"-",I13)</f>
        <v>5-MSG-01/-1T0402-21</v>
      </c>
      <c r="L13" s="73">
        <v>5</v>
      </c>
      <c r="M13" s="88"/>
      <c r="N13" s="159"/>
      <c r="O13" s="71" t="s">
        <v>198</v>
      </c>
      <c r="P13" s="89" t="str" cm="1">
        <f t="array" ref="P13">UPPER(
   "In PLC side, " &amp;
   _xlfn.TEXTJOIN(", ", TRUE,
      H13:INDEX(H13:H17, MATCH("COMMON",O13:O17,0)-2) &amp;
      ": " &amp;
      (I13:INDEX(I13:I17, MATCH("COMMON",O13:O17,0)-2)+1)
   ) &amp;
   " &amp; " &amp;
   INDEX(H13:H17, MATCH("COMMON",O13:O17,0)-1) &amp; ": " &amp;
   INDEX(I13:I17, MATCH("COMMON",O13:O17,0)-1)+1 &amp;
   " are already looped"
)</f>
        <v>IN PLC SIDE, 1T0402: 22 &amp; 1T0402: 24 ARE ALREADY LOOPED</v>
      </c>
    </row>
    <row r="14" spans="2:16" ht="30" customHeight="1" x14ac:dyDescent="0.45">
      <c r="B14" s="88"/>
      <c r="C14" s="89"/>
      <c r="D14" s="89"/>
      <c r="E14" s="67" t="s">
        <v>19</v>
      </c>
      <c r="F14" s="77">
        <v>4</v>
      </c>
      <c r="G14" s="77">
        <v>2</v>
      </c>
      <c r="H14" s="69" t="str">
        <f t="shared" si="1"/>
        <v>1T0402</v>
      </c>
      <c r="I14" s="65">
        <f>I13+2</f>
        <v>23</v>
      </c>
      <c r="J14" s="65" t="str">
        <f t="shared" si="0"/>
        <v>23-1T0402-/MSG-01-7</v>
      </c>
      <c r="K14" s="65" t="str">
        <f t="shared" si="2"/>
        <v>7-MSG-01/-1T0402-23</v>
      </c>
      <c r="L14" s="73">
        <v>7</v>
      </c>
      <c r="M14" s="88"/>
      <c r="N14" s="159"/>
      <c r="O14" s="71" t="s">
        <v>199</v>
      </c>
      <c r="P14" s="89"/>
    </row>
    <row r="15" spans="2:16" ht="30" customHeight="1" x14ac:dyDescent="0.45">
      <c r="B15" s="88"/>
      <c r="C15" s="89"/>
      <c r="D15" s="89"/>
      <c r="E15" s="67" t="s">
        <v>20</v>
      </c>
      <c r="F15" s="77">
        <v>4</v>
      </c>
      <c r="G15" s="77">
        <v>2</v>
      </c>
      <c r="H15" s="69" t="str">
        <f t="shared" si="1"/>
        <v>1T0402</v>
      </c>
      <c r="I15" s="65">
        <f>I14+1</f>
        <v>24</v>
      </c>
      <c r="J15" s="65" t="str">
        <f t="shared" si="0"/>
        <v>24-1T0402-/MSG-01-8</v>
      </c>
      <c r="K15" s="65" t="str">
        <f>CONCATENATE(L15,"-",$M$8,"/","-",H15,"-",I15)</f>
        <v>8-MSG-01/-1T0402-24</v>
      </c>
      <c r="L15" s="73">
        <v>8</v>
      </c>
      <c r="M15" s="88"/>
      <c r="N15" s="159"/>
      <c r="O15" s="71" t="s">
        <v>31</v>
      </c>
      <c r="P15" s="89"/>
    </row>
    <row r="16" spans="2:16" ht="30" customHeight="1" x14ac:dyDescent="0.45">
      <c r="B16" s="88"/>
      <c r="C16" s="89"/>
      <c r="D16" s="89"/>
      <c r="E16" s="67" t="s">
        <v>21</v>
      </c>
      <c r="F16" s="77" t="s">
        <v>45</v>
      </c>
      <c r="G16" s="77" t="s">
        <v>45</v>
      </c>
      <c r="H16" s="69" t="s">
        <v>45</v>
      </c>
      <c r="I16" s="65" t="s">
        <v>45</v>
      </c>
      <c r="J16" s="65" t="s">
        <v>45</v>
      </c>
      <c r="K16" s="65" t="s">
        <v>45</v>
      </c>
      <c r="L16" s="73" t="s">
        <v>45</v>
      </c>
      <c r="M16" s="88"/>
      <c r="N16" s="159"/>
      <c r="O16" s="71" t="s">
        <v>34</v>
      </c>
      <c r="P16" s="89"/>
    </row>
    <row r="17" spans="2:16" ht="30" customHeight="1" x14ac:dyDescent="0.45">
      <c r="B17" s="88"/>
      <c r="C17" s="89"/>
      <c r="D17" s="89"/>
      <c r="E17" s="67" t="s">
        <v>30</v>
      </c>
      <c r="F17" s="77" t="s">
        <v>45</v>
      </c>
      <c r="G17" s="77" t="s">
        <v>45</v>
      </c>
      <c r="H17" s="69" t="s">
        <v>45</v>
      </c>
      <c r="I17" s="65" t="s">
        <v>45</v>
      </c>
      <c r="J17" s="65" t="s">
        <v>45</v>
      </c>
      <c r="K17" s="65" t="s">
        <v>45</v>
      </c>
      <c r="L17" s="73" t="s">
        <v>45</v>
      </c>
      <c r="M17" s="88"/>
      <c r="N17" s="159"/>
      <c r="O17" s="71" t="s">
        <v>34</v>
      </c>
      <c r="P17" s="89"/>
    </row>
    <row r="18" spans="2:16" ht="30" customHeight="1" x14ac:dyDescent="0.45">
      <c r="B18" s="88">
        <f>B8+1</f>
        <v>2</v>
      </c>
      <c r="C18" s="89" t="s">
        <v>150</v>
      </c>
      <c r="D18" s="89" t="s">
        <v>200</v>
      </c>
      <c r="E18" s="67" t="s">
        <v>13</v>
      </c>
      <c r="F18" s="77">
        <v>2</v>
      </c>
      <c r="G18" s="77">
        <v>0</v>
      </c>
      <c r="H18" s="69" t="str">
        <f t="shared" si="1"/>
        <v>1T0200</v>
      </c>
      <c r="I18" s="65">
        <f>I12+1</f>
        <v>9</v>
      </c>
      <c r="J18" s="65" t="str">
        <f>CONCATENATE(I18,"-",H18,"-","/",M18,"-",L18)</f>
        <v>9-1T0200-/MSG-02-42</v>
      </c>
      <c r="K18" s="70" t="str">
        <f t="shared" ref="K18" si="3">CONCATENATE(L18,"-",M18,"/","-",H18,"-",I18)</f>
        <v>42-MSG-02/-1T0200-9</v>
      </c>
      <c r="L18" s="65">
        <v>42</v>
      </c>
      <c r="M18" s="88" t="str">
        <f>C18</f>
        <v>MSG-02</v>
      </c>
      <c r="N18" s="159" t="s">
        <v>171</v>
      </c>
      <c r="O18" s="74" t="s">
        <v>172</v>
      </c>
      <c r="P18" s="161" t="str" cm="1">
        <f t="array" ref="P18">UPPER(
   "In PLC side, " &amp;
   _xlfn.TEXTJOIN(", ", TRUE,
      H18:INDEX(H18:H29, MATCH("COMMON",O18:O29,0)-2) &amp;
      ": " &amp;
      (I18:INDEX(I18:I29, MATCH("COMMON",O18:O29,0)-2)+1)
   ) &amp;
   " &amp; " &amp;
   INDEX(H18:H29, MATCH("COMMON",O18:O29,0)-1) &amp; ": " &amp;
   INDEX(I18:I29, MATCH("COMMON",O18:O29,0)-1)+1 &amp;
   " are already looped"
)</f>
        <v>IN PLC SIDE, 1T0200: 10, 1T0200: 12, 1T0200: 14 &amp; 1T0200: 16 ARE ALREADY LOOPED</v>
      </c>
    </row>
    <row r="19" spans="2:16" ht="30" customHeight="1" x14ac:dyDescent="0.45">
      <c r="B19" s="88"/>
      <c r="C19" s="89"/>
      <c r="D19" s="89"/>
      <c r="E19" s="67" t="s">
        <v>14</v>
      </c>
      <c r="F19" s="77">
        <v>2</v>
      </c>
      <c r="G19" s="77">
        <v>0</v>
      </c>
      <c r="H19" s="69" t="str">
        <f t="shared" si="1"/>
        <v>1T0200</v>
      </c>
      <c r="I19" s="65">
        <f>I18+2</f>
        <v>11</v>
      </c>
      <c r="J19" s="65" t="str">
        <f>CONCATENATE(I19,"-",H19,"-","/",M18,"-",L19)</f>
        <v>11-1T0200-/MSG-02-38</v>
      </c>
      <c r="K19" s="70" t="str">
        <f>CONCATENATE(L19,"-",M18,"/","-",H19,"-",I19)</f>
        <v>38-MSG-02/-1T0200-11</v>
      </c>
      <c r="L19" s="73">
        <v>38</v>
      </c>
      <c r="M19" s="88"/>
      <c r="N19" s="159"/>
      <c r="O19" s="74" t="s">
        <v>173</v>
      </c>
      <c r="P19" s="162"/>
    </row>
    <row r="20" spans="2:16" ht="30" customHeight="1" x14ac:dyDescent="0.45">
      <c r="B20" s="88"/>
      <c r="C20" s="89"/>
      <c r="D20" s="89"/>
      <c r="E20" s="67" t="s">
        <v>15</v>
      </c>
      <c r="F20" s="77">
        <v>2</v>
      </c>
      <c r="G20" s="77">
        <v>0</v>
      </c>
      <c r="H20" s="69" t="str">
        <f t="shared" si="1"/>
        <v>1T0200</v>
      </c>
      <c r="I20" s="65">
        <f>I19+2</f>
        <v>13</v>
      </c>
      <c r="J20" s="65" t="str">
        <f>CONCATENATE(I20,"-",H20,"-","/",M18,"-",L20)</f>
        <v>13-1T0200-/MSG-02-15</v>
      </c>
      <c r="K20" s="70" t="str">
        <f>CONCATENATE(L20,"-",M18,"/","-",H20,"-",I20)</f>
        <v>15-MSG-02/-1T0200-13</v>
      </c>
      <c r="L20" s="73">
        <v>15</v>
      </c>
      <c r="M20" s="88"/>
      <c r="N20" s="159"/>
      <c r="O20" s="74" t="s">
        <v>174</v>
      </c>
      <c r="P20" s="162"/>
    </row>
    <row r="21" spans="2:16" ht="30" customHeight="1" x14ac:dyDescent="0.45">
      <c r="B21" s="88"/>
      <c r="C21" s="89"/>
      <c r="D21" s="89"/>
      <c r="E21" s="67" t="s">
        <v>16</v>
      </c>
      <c r="F21" s="77">
        <v>2</v>
      </c>
      <c r="G21" s="77">
        <v>0</v>
      </c>
      <c r="H21" s="69" t="str">
        <f t="shared" si="1"/>
        <v>1T0200</v>
      </c>
      <c r="I21" s="65">
        <f>I20+2</f>
        <v>15</v>
      </c>
      <c r="J21" s="65" t="str">
        <f>CONCATENATE(I21,"-",H21,"-","/",M18,"-",L21)</f>
        <v>15-1T0200-/MSG-02-19</v>
      </c>
      <c r="K21" s="70" t="str">
        <f>CONCATENATE(L21,"-",M18,"/","-",H21,"-",I21)</f>
        <v>19-MSG-02/-1T0200-15</v>
      </c>
      <c r="L21" s="73">
        <v>19</v>
      </c>
      <c r="M21" s="88"/>
      <c r="N21" s="159"/>
      <c r="O21" s="74" t="s">
        <v>175</v>
      </c>
      <c r="P21" s="162"/>
    </row>
    <row r="22" spans="2:16" ht="30" customHeight="1" x14ac:dyDescent="0.45">
      <c r="B22" s="88"/>
      <c r="C22" s="89"/>
      <c r="D22" s="89"/>
      <c r="E22" s="67" t="s">
        <v>17</v>
      </c>
      <c r="F22" s="77">
        <v>2</v>
      </c>
      <c r="G22" s="77">
        <v>0</v>
      </c>
      <c r="H22" s="69" t="str">
        <f t="shared" si="1"/>
        <v>1T0200</v>
      </c>
      <c r="I22" s="65">
        <f>I21+1</f>
        <v>16</v>
      </c>
      <c r="J22" s="65" t="str">
        <f>CONCATENATE(I22,"-",H22,"-","/",M18,"-",L22)</f>
        <v>16-1T0200-/MSG-02-22</v>
      </c>
      <c r="K22" s="70" t="str">
        <f>CONCATENATE(L22,"-",M18,"/","-",H22,"-",I22)</f>
        <v>22-MSG-02/-1T0200-16</v>
      </c>
      <c r="L22" s="73">
        <v>22</v>
      </c>
      <c r="M22" s="88"/>
      <c r="N22" s="159"/>
      <c r="O22" s="71" t="s">
        <v>31</v>
      </c>
      <c r="P22" s="162"/>
    </row>
    <row r="23" spans="2:16" ht="30" customHeight="1" x14ac:dyDescent="0.45">
      <c r="B23" s="88"/>
      <c r="C23" s="89"/>
      <c r="D23" s="89"/>
      <c r="E23" s="67" t="s">
        <v>18</v>
      </c>
      <c r="F23" s="77">
        <v>4</v>
      </c>
      <c r="G23" s="77">
        <v>2</v>
      </c>
      <c r="H23" s="69" t="str">
        <f t="shared" si="1"/>
        <v>1T0402</v>
      </c>
      <c r="I23" s="65">
        <v>25</v>
      </c>
      <c r="J23" s="65" t="str">
        <f>CONCATENATE(I23,"-",H23,"-","/",M18,"-",L23)</f>
        <v>25-1T0402-/MSG-02-5</v>
      </c>
      <c r="K23" s="70" t="str">
        <f>CONCATENATE(L23,"-",M18,"/","-",H23,"-",I23)</f>
        <v>5-MSG-02/-1T0402-25</v>
      </c>
      <c r="L23" s="73">
        <v>5</v>
      </c>
      <c r="M23" s="88"/>
      <c r="N23" s="159"/>
      <c r="O23" s="71" t="s">
        <v>198</v>
      </c>
      <c r="P23" s="89" t="str" cm="1">
        <f t="array" ref="P23">UPPER(
   "In PLC side, " &amp;
   _xlfn.TEXTJOIN(", ", TRUE,
      H23:INDEX(H23:H27, MATCH("COMMON",O23:O27,0)-2) &amp;
      ": " &amp;
      (I23:INDEX(I23:I27, MATCH("COMMON",O23:O27,0)-2)+1)
   ) &amp;
   " &amp; " &amp;
   INDEX(H23:H27, MATCH("COMMON",O23:O27,0)-1) &amp; ": " &amp;
   INDEX(I23:I27, MATCH("COMMON",O23:O27,0)-1)+1 &amp;
   " are already looped"
)</f>
        <v>IN PLC SIDE, 1T0402: 26 &amp; 1T0403: 2 ARE ALREADY LOOPED</v>
      </c>
    </row>
    <row r="24" spans="2:16" ht="30" customHeight="1" x14ac:dyDescent="0.45">
      <c r="B24" s="88"/>
      <c r="C24" s="89"/>
      <c r="D24" s="89"/>
      <c r="E24" s="67" t="s">
        <v>19</v>
      </c>
      <c r="F24" s="77">
        <v>4</v>
      </c>
      <c r="G24" s="77">
        <v>3</v>
      </c>
      <c r="H24" s="69" t="str">
        <f t="shared" si="1"/>
        <v>1T0403</v>
      </c>
      <c r="I24" s="65">
        <v>1</v>
      </c>
      <c r="J24" s="65" t="str">
        <f>CONCATENATE(I24,"-",H24,"-","/",M18,"-",L24)</f>
        <v>1-1T0403-/MSG-02-7</v>
      </c>
      <c r="K24" s="70" t="str">
        <f>CONCATENATE(L24,"-",M18,"/","-",H24,"-",I24)</f>
        <v>7-MSG-02/-1T0403-1</v>
      </c>
      <c r="L24" s="73">
        <v>7</v>
      </c>
      <c r="M24" s="88"/>
      <c r="N24" s="159"/>
      <c r="O24" s="71" t="s">
        <v>199</v>
      </c>
      <c r="P24" s="89"/>
    </row>
    <row r="25" spans="2:16" ht="30" customHeight="1" x14ac:dyDescent="0.45">
      <c r="B25" s="88"/>
      <c r="C25" s="89"/>
      <c r="D25" s="89"/>
      <c r="E25" s="67" t="s">
        <v>20</v>
      </c>
      <c r="F25" s="77">
        <v>4</v>
      </c>
      <c r="G25" s="77">
        <v>3</v>
      </c>
      <c r="H25" s="69" t="str">
        <f t="shared" si="1"/>
        <v>1T0403</v>
      </c>
      <c r="I25" s="65">
        <f>I24+1</f>
        <v>2</v>
      </c>
      <c r="J25" s="65" t="str">
        <f>CONCATENATE(I25,"-",H25,"-","/",M18,"-",L25)</f>
        <v>2-1T0403-/MSG-02-8</v>
      </c>
      <c r="K25" s="70" t="str">
        <f>CONCATENATE(L25,"-",M18,"/","-",H25,"-",I25)</f>
        <v>8-MSG-02/-1T0403-2</v>
      </c>
      <c r="L25" s="73">
        <v>8</v>
      </c>
      <c r="M25" s="88"/>
      <c r="N25" s="159"/>
      <c r="O25" s="71" t="s">
        <v>31</v>
      </c>
      <c r="P25" s="89"/>
    </row>
    <row r="26" spans="2:16" ht="30" customHeight="1" x14ac:dyDescent="0.45">
      <c r="B26" s="88"/>
      <c r="C26" s="89"/>
      <c r="D26" s="89"/>
      <c r="E26" s="67" t="s">
        <v>21</v>
      </c>
      <c r="F26" s="77" t="s">
        <v>45</v>
      </c>
      <c r="G26" s="77" t="s">
        <v>45</v>
      </c>
      <c r="H26" s="69" t="s">
        <v>45</v>
      </c>
      <c r="I26" s="65" t="s">
        <v>45</v>
      </c>
      <c r="J26" s="65" t="s">
        <v>45</v>
      </c>
      <c r="K26" s="65" t="s">
        <v>45</v>
      </c>
      <c r="L26" s="73" t="s">
        <v>45</v>
      </c>
      <c r="M26" s="88"/>
      <c r="N26" s="159"/>
      <c r="O26" s="71" t="s">
        <v>34</v>
      </c>
      <c r="P26" s="89"/>
    </row>
    <row r="27" spans="2:16" ht="30" customHeight="1" x14ac:dyDescent="0.45">
      <c r="B27" s="88"/>
      <c r="C27" s="89"/>
      <c r="D27" s="89"/>
      <c r="E27" s="67" t="s">
        <v>30</v>
      </c>
      <c r="F27" s="77" t="s">
        <v>45</v>
      </c>
      <c r="G27" s="77" t="s">
        <v>45</v>
      </c>
      <c r="H27" s="69" t="s">
        <v>45</v>
      </c>
      <c r="I27" s="65" t="s">
        <v>45</v>
      </c>
      <c r="J27" s="65" t="s">
        <v>45</v>
      </c>
      <c r="K27" s="65" t="s">
        <v>45</v>
      </c>
      <c r="L27" s="73" t="s">
        <v>45</v>
      </c>
      <c r="M27" s="88"/>
      <c r="N27" s="159"/>
      <c r="O27" s="71" t="s">
        <v>34</v>
      </c>
      <c r="P27" s="89"/>
    </row>
    <row r="28" spans="2:16" ht="30" customHeight="1" x14ac:dyDescent="0.45">
      <c r="B28" s="88">
        <f t="shared" ref="B28" si="4">B18+1</f>
        <v>3</v>
      </c>
      <c r="C28" s="89" t="s">
        <v>151</v>
      </c>
      <c r="D28" s="89" t="s">
        <v>200</v>
      </c>
      <c r="E28" s="67" t="s">
        <v>13</v>
      </c>
      <c r="F28" s="77">
        <v>2</v>
      </c>
      <c r="G28" s="77">
        <v>0</v>
      </c>
      <c r="H28" s="69" t="str">
        <f t="shared" si="1"/>
        <v>1T0200</v>
      </c>
      <c r="I28" s="65">
        <f>I22+1</f>
        <v>17</v>
      </c>
      <c r="J28" s="65" t="str">
        <f>CONCATENATE(I28,"-",H28,"-","/",M28,"-",L28)</f>
        <v>17-1T0200-/MBFV-01-42</v>
      </c>
      <c r="K28" s="70" t="str">
        <f t="shared" ref="K28" si="5">CONCATENATE(L28,"-",M28,"/","-",H28,"-",I28)</f>
        <v>42-MBFV-01/-1T0200-17</v>
      </c>
      <c r="L28" s="65">
        <v>42</v>
      </c>
      <c r="M28" s="88" t="str">
        <f>C28</f>
        <v>MBFV-01</v>
      </c>
      <c r="N28" s="159" t="s">
        <v>176</v>
      </c>
      <c r="O28" s="74" t="s">
        <v>172</v>
      </c>
      <c r="P28" s="161" t="str" cm="1">
        <f t="array" ref="P28">UPPER(
   "In PLC side, " &amp;
   _xlfn.TEXTJOIN(", ", TRUE,
      H28:INDEX(H28:H39, MATCH("COMMON",O28:O39,0)-2) &amp;
      ": " &amp;
      (I28:INDEX(I28:I39, MATCH("COMMON",O28:O39,0)-2)+1)
   ) &amp;
   " &amp; " &amp;
   INDEX(H28:H39, MATCH("COMMON",O28:O39,0)-1) &amp; ": " &amp;
   INDEX(I28:I39, MATCH("COMMON",O28:O39,0)-1)+1 &amp;
   " are already looped"
)</f>
        <v>IN PLC SIDE, 1T0200: 18, 1T0200: 20, 1T0200: 22 &amp; 1T0200: 24 ARE ALREADY LOOPED</v>
      </c>
    </row>
    <row r="29" spans="2:16" ht="30" customHeight="1" x14ac:dyDescent="0.45">
      <c r="B29" s="88"/>
      <c r="C29" s="89"/>
      <c r="D29" s="89"/>
      <c r="E29" s="67" t="s">
        <v>14</v>
      </c>
      <c r="F29" s="77">
        <v>2</v>
      </c>
      <c r="G29" s="77">
        <v>0</v>
      </c>
      <c r="H29" s="69" t="str">
        <f t="shared" si="1"/>
        <v>1T0200</v>
      </c>
      <c r="I29" s="65">
        <f>I28+2</f>
        <v>19</v>
      </c>
      <c r="J29" s="65" t="str">
        <f>CONCATENATE(I29,"-",H29,"-","/",M28,"-",L29)</f>
        <v>19-1T0200-/MBFV-01-38</v>
      </c>
      <c r="K29" s="70" t="str">
        <f>CONCATENATE(L29,"-",M28,"/","-",H29,"-",I29)</f>
        <v>38-MBFV-01/-1T0200-19</v>
      </c>
      <c r="L29" s="73">
        <v>38</v>
      </c>
      <c r="M29" s="88"/>
      <c r="N29" s="159"/>
      <c r="O29" s="74" t="s">
        <v>173</v>
      </c>
      <c r="P29" s="162"/>
    </row>
    <row r="30" spans="2:16" ht="30" customHeight="1" x14ac:dyDescent="0.45">
      <c r="B30" s="88"/>
      <c r="C30" s="89"/>
      <c r="D30" s="89"/>
      <c r="E30" s="67" t="s">
        <v>15</v>
      </c>
      <c r="F30" s="77">
        <v>2</v>
      </c>
      <c r="G30" s="77">
        <v>0</v>
      </c>
      <c r="H30" s="69" t="str">
        <f t="shared" si="1"/>
        <v>1T0200</v>
      </c>
      <c r="I30" s="65">
        <f>I29+2</f>
        <v>21</v>
      </c>
      <c r="J30" s="65" t="str">
        <f>CONCATENATE(I30,"-",H30,"-","/",M28,"-",L30)</f>
        <v>21-1T0200-/MBFV-01-15</v>
      </c>
      <c r="K30" s="70" t="str">
        <f>CONCATENATE(L30,"-",M28,"/","-",H30,"-",I30)</f>
        <v>15-MBFV-01/-1T0200-21</v>
      </c>
      <c r="L30" s="73">
        <v>15</v>
      </c>
      <c r="M30" s="88"/>
      <c r="N30" s="159"/>
      <c r="O30" s="74" t="s">
        <v>174</v>
      </c>
      <c r="P30" s="162"/>
    </row>
    <row r="31" spans="2:16" ht="30" customHeight="1" x14ac:dyDescent="0.45">
      <c r="B31" s="88"/>
      <c r="C31" s="89"/>
      <c r="D31" s="89"/>
      <c r="E31" s="67" t="s">
        <v>16</v>
      </c>
      <c r="F31" s="77">
        <v>2</v>
      </c>
      <c r="G31" s="77">
        <v>0</v>
      </c>
      <c r="H31" s="69" t="str">
        <f t="shared" si="1"/>
        <v>1T0200</v>
      </c>
      <c r="I31" s="65">
        <f>I30+2</f>
        <v>23</v>
      </c>
      <c r="J31" s="65" t="str">
        <f>CONCATENATE(I31,"-",H31,"-","/",M28,"-",L31)</f>
        <v>23-1T0200-/MBFV-01-19</v>
      </c>
      <c r="K31" s="70" t="str">
        <f>CONCATENATE(L31,"-",M28,"/","-",H31,"-",I31)</f>
        <v>19-MBFV-01/-1T0200-23</v>
      </c>
      <c r="L31" s="73">
        <v>19</v>
      </c>
      <c r="M31" s="88"/>
      <c r="N31" s="159"/>
      <c r="O31" s="74" t="s">
        <v>175</v>
      </c>
      <c r="P31" s="162"/>
    </row>
    <row r="32" spans="2:16" ht="30" customHeight="1" x14ac:dyDescent="0.45">
      <c r="B32" s="88"/>
      <c r="C32" s="89"/>
      <c r="D32" s="89"/>
      <c r="E32" s="67" t="s">
        <v>17</v>
      </c>
      <c r="F32" s="77">
        <v>2</v>
      </c>
      <c r="G32" s="77">
        <v>0</v>
      </c>
      <c r="H32" s="69" t="str">
        <f t="shared" si="1"/>
        <v>1T0200</v>
      </c>
      <c r="I32" s="65">
        <f>I31+1</f>
        <v>24</v>
      </c>
      <c r="J32" s="65" t="str">
        <f>CONCATENATE(I32,"-",H32,"-","/",M28,"-",L32)</f>
        <v>24-1T0200-/MBFV-01-22</v>
      </c>
      <c r="K32" s="70" t="str">
        <f>CONCATENATE(L32,"-",M28,"/","-",H32,"-",I32)</f>
        <v>22-MBFV-01/-1T0200-24</v>
      </c>
      <c r="L32" s="73">
        <v>22</v>
      </c>
      <c r="M32" s="88"/>
      <c r="N32" s="159"/>
      <c r="O32" s="71" t="s">
        <v>31</v>
      </c>
      <c r="P32" s="162"/>
    </row>
    <row r="33" spans="2:16" ht="30" customHeight="1" x14ac:dyDescent="0.45">
      <c r="B33" s="88"/>
      <c r="C33" s="89"/>
      <c r="D33" s="89"/>
      <c r="E33" s="67" t="s">
        <v>18</v>
      </c>
      <c r="F33" s="77">
        <v>4</v>
      </c>
      <c r="G33" s="77">
        <v>3</v>
      </c>
      <c r="H33" s="69" t="str">
        <f t="shared" si="1"/>
        <v>1T0403</v>
      </c>
      <c r="I33" s="65">
        <v>3</v>
      </c>
      <c r="J33" s="65" t="str">
        <f>CONCATENATE(I33,"-",H33,"-","/",M28,"-",L33)</f>
        <v>3-1T0403-/MBFV-01-5</v>
      </c>
      <c r="K33" s="70" t="str">
        <f>CONCATENATE(L33,"-",M28,"/","-",H33,"-",I33)</f>
        <v>5-MBFV-01/-1T0403-3</v>
      </c>
      <c r="L33" s="73">
        <v>5</v>
      </c>
      <c r="M33" s="88"/>
      <c r="N33" s="159"/>
      <c r="O33" s="71" t="s">
        <v>198</v>
      </c>
      <c r="P33" s="89" t="str" cm="1">
        <f t="array" ref="P33">UPPER(
   "In PLC side, " &amp;
   _xlfn.TEXTJOIN(", ", TRUE,
      H33:INDEX(H33:H37, MATCH("COMMON",O33:O37,0)-2) &amp;
      ": " &amp;
      (I33:INDEX(I33:I37, MATCH("COMMON",O33:O37,0)-2)+1)
   ) &amp;
   " &amp; " &amp;
   INDEX(H33:H37, MATCH("COMMON",O33:O37,0)-1) &amp; ": " &amp;
   INDEX(I33:I37, MATCH("COMMON",O33:O37,0)-1)+1 &amp;
   " are already looped"
)</f>
        <v>IN PLC SIDE, 1T0403: 4 &amp; 1T0403: 6 ARE ALREADY LOOPED</v>
      </c>
    </row>
    <row r="34" spans="2:16" ht="30" customHeight="1" x14ac:dyDescent="0.45">
      <c r="B34" s="88"/>
      <c r="C34" s="89"/>
      <c r="D34" s="89"/>
      <c r="E34" s="67" t="s">
        <v>19</v>
      </c>
      <c r="F34" s="77">
        <v>4</v>
      </c>
      <c r="G34" s="77">
        <v>3</v>
      </c>
      <c r="H34" s="69" t="str">
        <f t="shared" si="1"/>
        <v>1T0403</v>
      </c>
      <c r="I34" s="65">
        <f>I33+2</f>
        <v>5</v>
      </c>
      <c r="J34" s="65" t="str">
        <f>CONCATENATE(I34,"-",H34,"-","/",M28,"-",L34)</f>
        <v>5-1T0403-/MBFV-01-7</v>
      </c>
      <c r="K34" s="70" t="str">
        <f>CONCATENATE(L34,"-",M28,"/","-",H34,"-",I34)</f>
        <v>7-MBFV-01/-1T0403-5</v>
      </c>
      <c r="L34" s="73">
        <v>7</v>
      </c>
      <c r="M34" s="88"/>
      <c r="N34" s="159"/>
      <c r="O34" s="71" t="s">
        <v>199</v>
      </c>
      <c r="P34" s="89"/>
    </row>
    <row r="35" spans="2:16" ht="30" customHeight="1" x14ac:dyDescent="0.45">
      <c r="B35" s="88"/>
      <c r="C35" s="89"/>
      <c r="D35" s="89"/>
      <c r="E35" s="67" t="s">
        <v>20</v>
      </c>
      <c r="F35" s="77">
        <v>4</v>
      </c>
      <c r="G35" s="77">
        <v>3</v>
      </c>
      <c r="H35" s="69" t="str">
        <f t="shared" si="1"/>
        <v>1T0403</v>
      </c>
      <c r="I35" s="65">
        <f>I34+1</f>
        <v>6</v>
      </c>
      <c r="J35" s="65" t="str">
        <f>CONCATENATE(I35,"-",H35,"-","/",M28,"-",L35)</f>
        <v>6-1T0403-/MBFV-01-8</v>
      </c>
      <c r="K35" s="70" t="str">
        <f>CONCATENATE(L35,"-",M28,"/","-",H35,"-",I35)</f>
        <v>8-MBFV-01/-1T0403-6</v>
      </c>
      <c r="L35" s="73">
        <v>8</v>
      </c>
      <c r="M35" s="88"/>
      <c r="N35" s="159"/>
      <c r="O35" s="71" t="s">
        <v>31</v>
      </c>
      <c r="P35" s="89"/>
    </row>
    <row r="36" spans="2:16" ht="30" customHeight="1" x14ac:dyDescent="0.45">
      <c r="B36" s="88"/>
      <c r="C36" s="89"/>
      <c r="D36" s="89"/>
      <c r="E36" s="67" t="s">
        <v>21</v>
      </c>
      <c r="F36" s="77" t="s">
        <v>45</v>
      </c>
      <c r="G36" s="77" t="s">
        <v>45</v>
      </c>
      <c r="H36" s="69" t="s">
        <v>45</v>
      </c>
      <c r="I36" s="65" t="s">
        <v>45</v>
      </c>
      <c r="J36" s="65" t="s">
        <v>45</v>
      </c>
      <c r="K36" s="65" t="s">
        <v>45</v>
      </c>
      <c r="L36" s="73" t="s">
        <v>45</v>
      </c>
      <c r="M36" s="88"/>
      <c r="N36" s="159"/>
      <c r="O36" s="71" t="s">
        <v>34</v>
      </c>
      <c r="P36" s="89"/>
    </row>
    <row r="37" spans="2:16" ht="30" customHeight="1" x14ac:dyDescent="0.45">
      <c r="B37" s="88"/>
      <c r="C37" s="89"/>
      <c r="D37" s="89"/>
      <c r="E37" s="67" t="s">
        <v>30</v>
      </c>
      <c r="F37" s="77" t="s">
        <v>45</v>
      </c>
      <c r="G37" s="77" t="s">
        <v>45</v>
      </c>
      <c r="H37" s="69" t="s">
        <v>45</v>
      </c>
      <c r="I37" s="65" t="s">
        <v>45</v>
      </c>
      <c r="J37" s="65" t="s">
        <v>45</v>
      </c>
      <c r="K37" s="65" t="s">
        <v>45</v>
      </c>
      <c r="L37" s="73" t="s">
        <v>45</v>
      </c>
      <c r="M37" s="88"/>
      <c r="N37" s="159"/>
      <c r="O37" s="71" t="s">
        <v>34</v>
      </c>
      <c r="P37" s="89"/>
    </row>
    <row r="38" spans="2:16" ht="30" customHeight="1" x14ac:dyDescent="0.45">
      <c r="B38" s="88">
        <f t="shared" ref="B38" si="6">B28+1</f>
        <v>4</v>
      </c>
      <c r="C38" s="89" t="s">
        <v>152</v>
      </c>
      <c r="D38" s="89" t="s">
        <v>200</v>
      </c>
      <c r="E38" s="67" t="s">
        <v>13</v>
      </c>
      <c r="F38" s="77">
        <v>2</v>
      </c>
      <c r="G38" s="77">
        <v>0</v>
      </c>
      <c r="H38" s="69" t="str">
        <f t="shared" si="1"/>
        <v>1T0200</v>
      </c>
      <c r="I38" s="65">
        <f>I32+1</f>
        <v>25</v>
      </c>
      <c r="J38" s="65" t="str">
        <f>CONCATENATE(I38,"-",H38,"-","/",M38,"-",L38)</f>
        <v>25-1T0200-/MBFV-02-42</v>
      </c>
      <c r="K38" s="70" t="str">
        <f t="shared" ref="K38" si="7">CONCATENATE(L38,"-",M38,"/","-",H38,"-",I38)</f>
        <v>42-MBFV-02/-1T0200-25</v>
      </c>
      <c r="L38" s="65">
        <v>42</v>
      </c>
      <c r="M38" s="88" t="str">
        <f>C38</f>
        <v>MBFV-02</v>
      </c>
      <c r="N38" s="159" t="s">
        <v>177</v>
      </c>
      <c r="O38" s="74" t="s">
        <v>172</v>
      </c>
      <c r="P38" s="161" t="str" cm="1">
        <f t="array" ref="P38">UPPER(
   "In PLC side, " &amp;
   _xlfn.TEXTJOIN(", ", TRUE,
      H38:INDEX(H38:H49, MATCH("COMMON",O38:O49,0)-2) &amp;
      ": " &amp;
      (I38:INDEX(I38:I49, MATCH("COMMON",O38:O49,0)-2)+1)
   ) &amp;
   " &amp; " &amp;
   INDEX(H38:H49, MATCH("COMMON",O38:O49,0)-1) &amp; ": " &amp;
   INDEX(I38:I49, MATCH("COMMON",O38:O49,0)-1)+1 &amp;
   " are already looped"
)</f>
        <v>IN PLC SIDE, 1T0200: 26, 1T0201: 2, 1T0201: 4 &amp; 1T0201: 6 ARE ALREADY LOOPED</v>
      </c>
    </row>
    <row r="39" spans="2:16" ht="30" customHeight="1" x14ac:dyDescent="0.45">
      <c r="B39" s="88"/>
      <c r="C39" s="89"/>
      <c r="D39" s="89"/>
      <c r="E39" s="67" t="s">
        <v>14</v>
      </c>
      <c r="F39" s="77">
        <v>2</v>
      </c>
      <c r="G39" s="77">
        <v>1</v>
      </c>
      <c r="H39" s="69" t="str">
        <f t="shared" si="1"/>
        <v>1T0201</v>
      </c>
      <c r="I39" s="65">
        <v>1</v>
      </c>
      <c r="J39" s="65" t="str">
        <f>CONCATENATE(I39,"-",H39,"-","/",M38,"-",L39)</f>
        <v>1-1T0201-/MBFV-02-38</v>
      </c>
      <c r="K39" s="70" t="str">
        <f>CONCATENATE(L39,"-",M38,"/","-",H39,"-",I39)</f>
        <v>38-MBFV-02/-1T0201-1</v>
      </c>
      <c r="L39" s="73">
        <v>38</v>
      </c>
      <c r="M39" s="88"/>
      <c r="N39" s="159"/>
      <c r="O39" s="74" t="s">
        <v>173</v>
      </c>
      <c r="P39" s="162"/>
    </row>
    <row r="40" spans="2:16" ht="30" customHeight="1" x14ac:dyDescent="0.45">
      <c r="B40" s="88"/>
      <c r="C40" s="89"/>
      <c r="D40" s="89"/>
      <c r="E40" s="67" t="s">
        <v>15</v>
      </c>
      <c r="F40" s="77">
        <v>2</v>
      </c>
      <c r="G40" s="77">
        <v>1</v>
      </c>
      <c r="H40" s="69" t="str">
        <f t="shared" si="1"/>
        <v>1T0201</v>
      </c>
      <c r="I40" s="65">
        <f>I39+2</f>
        <v>3</v>
      </c>
      <c r="J40" s="65" t="str">
        <f>CONCATENATE(I40,"-",H40,"-","/",M38,"-",L40)</f>
        <v>3-1T0201-/MBFV-02-15</v>
      </c>
      <c r="K40" s="70" t="str">
        <f>CONCATENATE(L40,"-",M38,"/","-",H40,"-",I40)</f>
        <v>15-MBFV-02/-1T0201-3</v>
      </c>
      <c r="L40" s="73">
        <v>15</v>
      </c>
      <c r="M40" s="88"/>
      <c r="N40" s="159"/>
      <c r="O40" s="74" t="s">
        <v>174</v>
      </c>
      <c r="P40" s="162"/>
    </row>
    <row r="41" spans="2:16" ht="30" customHeight="1" x14ac:dyDescent="0.45">
      <c r="B41" s="88"/>
      <c r="C41" s="89"/>
      <c r="D41" s="89"/>
      <c r="E41" s="67" t="s">
        <v>16</v>
      </c>
      <c r="F41" s="77">
        <v>2</v>
      </c>
      <c r="G41" s="77">
        <v>1</v>
      </c>
      <c r="H41" s="69" t="str">
        <f t="shared" si="1"/>
        <v>1T0201</v>
      </c>
      <c r="I41" s="65">
        <f>I40+2</f>
        <v>5</v>
      </c>
      <c r="J41" s="65" t="str">
        <f>CONCATENATE(I41,"-",H41,"-","/",M38,"-",L41)</f>
        <v>5-1T0201-/MBFV-02-19</v>
      </c>
      <c r="K41" s="70" t="str">
        <f>CONCATENATE(L41,"-",M38,"/","-",H41,"-",I41)</f>
        <v>19-MBFV-02/-1T0201-5</v>
      </c>
      <c r="L41" s="73">
        <v>19</v>
      </c>
      <c r="M41" s="88"/>
      <c r="N41" s="159"/>
      <c r="O41" s="74" t="s">
        <v>175</v>
      </c>
      <c r="P41" s="162"/>
    </row>
    <row r="42" spans="2:16" ht="30" customHeight="1" x14ac:dyDescent="0.45">
      <c r="B42" s="88"/>
      <c r="C42" s="89"/>
      <c r="D42" s="89"/>
      <c r="E42" s="67" t="s">
        <v>17</v>
      </c>
      <c r="F42" s="77">
        <v>2</v>
      </c>
      <c r="G42" s="77">
        <v>1</v>
      </c>
      <c r="H42" s="69" t="str">
        <f t="shared" si="1"/>
        <v>1T0201</v>
      </c>
      <c r="I42" s="65">
        <f>I41+1</f>
        <v>6</v>
      </c>
      <c r="J42" s="65" t="str">
        <f>CONCATENATE(I42,"-",H42,"-","/",M38,"-",L42)</f>
        <v>6-1T0201-/MBFV-02-22</v>
      </c>
      <c r="K42" s="70" t="str">
        <f>CONCATENATE(L42,"-",M38,"/","-",H42,"-",I42)</f>
        <v>22-MBFV-02/-1T0201-6</v>
      </c>
      <c r="L42" s="73">
        <v>22</v>
      </c>
      <c r="M42" s="88"/>
      <c r="N42" s="159"/>
      <c r="O42" s="71" t="s">
        <v>31</v>
      </c>
      <c r="P42" s="162"/>
    </row>
    <row r="43" spans="2:16" ht="30" customHeight="1" x14ac:dyDescent="0.45">
      <c r="B43" s="88"/>
      <c r="C43" s="89"/>
      <c r="D43" s="89"/>
      <c r="E43" s="67" t="s">
        <v>18</v>
      </c>
      <c r="F43" s="77">
        <v>4</v>
      </c>
      <c r="G43" s="77">
        <v>3</v>
      </c>
      <c r="H43" s="69" t="str">
        <f t="shared" si="1"/>
        <v>1T0403</v>
      </c>
      <c r="I43" s="65">
        <v>7</v>
      </c>
      <c r="J43" s="65" t="str">
        <f>CONCATENATE(I43,"-",H43,"-","/",M38,"-",L43)</f>
        <v>7-1T0403-/MBFV-02-5</v>
      </c>
      <c r="K43" s="70" t="str">
        <f>CONCATENATE(L43,"-",M38,"/","-",H43,"-",I43)</f>
        <v>5-MBFV-02/-1T0403-7</v>
      </c>
      <c r="L43" s="73">
        <v>5</v>
      </c>
      <c r="M43" s="88"/>
      <c r="N43" s="159"/>
      <c r="O43" s="71" t="s">
        <v>198</v>
      </c>
      <c r="P43" s="89" t="str" cm="1">
        <f t="array" ref="P43">UPPER(
   "In PLC side, " &amp;
   _xlfn.TEXTJOIN(", ", TRUE,
      H43:INDEX(H43:H47, MATCH("COMMON",O43:O47,0)-2) &amp;
      ": " &amp;
      (I43:INDEX(I43:I47, MATCH("COMMON",O43:O47,0)-2)+1)
   ) &amp;
   " &amp; " &amp;
   INDEX(H43:H47, MATCH("COMMON",O43:O47,0)-1) &amp; ": " &amp;
   INDEX(I43:I47, MATCH("COMMON",O43:O47,0)-1)+1 &amp;
   " are already looped"
)</f>
        <v>IN PLC SIDE, 1T0403: 8 &amp; 1T0403: 10 ARE ALREADY LOOPED</v>
      </c>
    </row>
    <row r="44" spans="2:16" ht="30" customHeight="1" x14ac:dyDescent="0.45">
      <c r="B44" s="88"/>
      <c r="C44" s="89"/>
      <c r="D44" s="89"/>
      <c r="E44" s="67" t="s">
        <v>19</v>
      </c>
      <c r="F44" s="77">
        <v>4</v>
      </c>
      <c r="G44" s="77">
        <v>3</v>
      </c>
      <c r="H44" s="69" t="str">
        <f t="shared" si="1"/>
        <v>1T0403</v>
      </c>
      <c r="I44" s="65">
        <f>I43+2</f>
        <v>9</v>
      </c>
      <c r="J44" s="65" t="str">
        <f>CONCATENATE(I44,"-",H44,"-","/",M38,"-",L44)</f>
        <v>9-1T0403-/MBFV-02-7</v>
      </c>
      <c r="K44" s="70" t="str">
        <f>CONCATENATE(L44,"-",M38,"/","-",H44,"-",I44)</f>
        <v>7-MBFV-02/-1T0403-9</v>
      </c>
      <c r="L44" s="73">
        <v>7</v>
      </c>
      <c r="M44" s="88"/>
      <c r="N44" s="159"/>
      <c r="O44" s="71" t="s">
        <v>199</v>
      </c>
      <c r="P44" s="89"/>
    </row>
    <row r="45" spans="2:16" ht="30" customHeight="1" x14ac:dyDescent="0.45">
      <c r="B45" s="88"/>
      <c r="C45" s="89"/>
      <c r="D45" s="89"/>
      <c r="E45" s="67" t="s">
        <v>20</v>
      </c>
      <c r="F45" s="77">
        <v>4</v>
      </c>
      <c r="G45" s="77">
        <v>3</v>
      </c>
      <c r="H45" s="69" t="str">
        <f t="shared" si="1"/>
        <v>1T0403</v>
      </c>
      <c r="I45" s="65">
        <f>I44+1</f>
        <v>10</v>
      </c>
      <c r="J45" s="65" t="str">
        <f>CONCATENATE(I45,"-",H45,"-","/",M38,"-",L45)</f>
        <v>10-1T0403-/MBFV-02-8</v>
      </c>
      <c r="K45" s="70" t="str">
        <f>CONCATENATE(L45,"-",M38,"/","-",H45,"-",I45)</f>
        <v>8-MBFV-02/-1T0403-10</v>
      </c>
      <c r="L45" s="73">
        <v>8</v>
      </c>
      <c r="M45" s="88"/>
      <c r="N45" s="159"/>
      <c r="O45" s="71" t="s">
        <v>31</v>
      </c>
      <c r="P45" s="89"/>
    </row>
    <row r="46" spans="2:16" ht="30" customHeight="1" x14ac:dyDescent="0.45">
      <c r="B46" s="88"/>
      <c r="C46" s="89"/>
      <c r="D46" s="89"/>
      <c r="E46" s="67" t="s">
        <v>21</v>
      </c>
      <c r="F46" s="77" t="s">
        <v>45</v>
      </c>
      <c r="G46" s="77" t="s">
        <v>45</v>
      </c>
      <c r="H46" s="69" t="s">
        <v>45</v>
      </c>
      <c r="I46" s="65" t="s">
        <v>45</v>
      </c>
      <c r="J46" s="65" t="s">
        <v>45</v>
      </c>
      <c r="K46" s="65" t="s">
        <v>45</v>
      </c>
      <c r="L46" s="73" t="s">
        <v>45</v>
      </c>
      <c r="M46" s="88"/>
      <c r="N46" s="159"/>
      <c r="O46" s="71" t="s">
        <v>34</v>
      </c>
      <c r="P46" s="89"/>
    </row>
    <row r="47" spans="2:16" ht="30" customHeight="1" x14ac:dyDescent="0.45">
      <c r="B47" s="88"/>
      <c r="C47" s="89"/>
      <c r="D47" s="89"/>
      <c r="E47" s="67" t="s">
        <v>30</v>
      </c>
      <c r="F47" s="77" t="s">
        <v>45</v>
      </c>
      <c r="G47" s="77" t="s">
        <v>45</v>
      </c>
      <c r="H47" s="69" t="s">
        <v>45</v>
      </c>
      <c r="I47" s="65" t="s">
        <v>45</v>
      </c>
      <c r="J47" s="65" t="s">
        <v>45</v>
      </c>
      <c r="K47" s="65" t="s">
        <v>45</v>
      </c>
      <c r="L47" s="73" t="s">
        <v>45</v>
      </c>
      <c r="M47" s="88"/>
      <c r="N47" s="159"/>
      <c r="O47" s="71" t="s">
        <v>34</v>
      </c>
      <c r="P47" s="89"/>
    </row>
    <row r="48" spans="2:16" ht="30" customHeight="1" x14ac:dyDescent="0.45">
      <c r="B48" s="88">
        <f>B38+1</f>
        <v>5</v>
      </c>
      <c r="C48" s="89" t="s">
        <v>153</v>
      </c>
      <c r="D48" s="89" t="s">
        <v>200</v>
      </c>
      <c r="E48" s="67" t="s">
        <v>13</v>
      </c>
      <c r="F48" s="77">
        <v>2</v>
      </c>
      <c r="G48" s="77">
        <v>1</v>
      </c>
      <c r="H48" s="69" t="str">
        <f t="shared" si="1"/>
        <v>1T0201</v>
      </c>
      <c r="I48" s="65">
        <f>I42+1</f>
        <v>7</v>
      </c>
      <c r="J48" s="65" t="str">
        <f>CONCATENATE(I48,"-",H48,"-","/",M48,"-",L48)</f>
        <v>7-1T0201-/MBFV-03-42</v>
      </c>
      <c r="K48" s="70" t="str">
        <f t="shared" ref="K48" si="8">CONCATENATE(L48,"-",M48,"/","-",H48,"-",I48)</f>
        <v>42-MBFV-03/-1T0201-7</v>
      </c>
      <c r="L48" s="65">
        <v>42</v>
      </c>
      <c r="M48" s="88" t="str">
        <f>C48</f>
        <v>MBFV-03</v>
      </c>
      <c r="N48" s="159" t="s">
        <v>178</v>
      </c>
      <c r="O48" s="74" t="s">
        <v>172</v>
      </c>
      <c r="P48" s="161" t="str" cm="1">
        <f t="array" ref="P48">UPPER(
   "In PLC side, " &amp;
   _xlfn.TEXTJOIN(", ", TRUE,
      H48:INDEX(H48:H59, MATCH("COMMON",O48:O59,0)-2) &amp;
      ": " &amp;
      (I48:INDEX(I48:I59, MATCH("COMMON",O48:O59,0)-2)+1)
   ) &amp;
   " &amp; " &amp;
   INDEX(H48:H59, MATCH("COMMON",O48:O59,0)-1) &amp; ": " &amp;
   INDEX(I48:I59, MATCH("COMMON",O48:O59,0)-1)+1 &amp;
   " are already looped"
)</f>
        <v>IN PLC SIDE, 1T0201: 8, 1T0201: 10, 1T0201: 12 &amp; 1T0201: 14 ARE ALREADY LOOPED</v>
      </c>
    </row>
    <row r="49" spans="2:16" ht="30" customHeight="1" x14ac:dyDescent="0.45">
      <c r="B49" s="88"/>
      <c r="C49" s="89"/>
      <c r="D49" s="89"/>
      <c r="E49" s="67" t="s">
        <v>14</v>
      </c>
      <c r="F49" s="77">
        <v>2</v>
      </c>
      <c r="G49" s="77">
        <v>1</v>
      </c>
      <c r="H49" s="69" t="str">
        <f t="shared" si="1"/>
        <v>1T0201</v>
      </c>
      <c r="I49" s="65">
        <f>I48+2</f>
        <v>9</v>
      </c>
      <c r="J49" s="65" t="str">
        <f>CONCATENATE(I49,"-",H49,"-","/",M48,"-",L49)</f>
        <v>9-1T0201-/MBFV-03-38</v>
      </c>
      <c r="K49" s="70" t="str">
        <f>CONCATENATE(L49,"-",M48,"/","-",H49,"-",I49)</f>
        <v>38-MBFV-03/-1T0201-9</v>
      </c>
      <c r="L49" s="73">
        <v>38</v>
      </c>
      <c r="M49" s="88"/>
      <c r="N49" s="159"/>
      <c r="O49" s="74" t="s">
        <v>173</v>
      </c>
      <c r="P49" s="162"/>
    </row>
    <row r="50" spans="2:16" ht="30" customHeight="1" x14ac:dyDescent="0.45">
      <c r="B50" s="88"/>
      <c r="C50" s="89"/>
      <c r="D50" s="89"/>
      <c r="E50" s="67" t="s">
        <v>15</v>
      </c>
      <c r="F50" s="77">
        <v>2</v>
      </c>
      <c r="G50" s="77">
        <v>1</v>
      </c>
      <c r="H50" s="69" t="str">
        <f t="shared" si="1"/>
        <v>1T0201</v>
      </c>
      <c r="I50" s="65">
        <f>I49+2</f>
        <v>11</v>
      </c>
      <c r="J50" s="65" t="str">
        <f>CONCATENATE(I50,"-",H50,"-","/",M48,"-",L50)</f>
        <v>11-1T0201-/MBFV-03-15</v>
      </c>
      <c r="K50" s="70" t="str">
        <f>CONCATENATE(L50,"-",M48,"/","-",H50,"-",I50)</f>
        <v>15-MBFV-03/-1T0201-11</v>
      </c>
      <c r="L50" s="73">
        <v>15</v>
      </c>
      <c r="M50" s="88"/>
      <c r="N50" s="159"/>
      <c r="O50" s="74" t="s">
        <v>174</v>
      </c>
      <c r="P50" s="162"/>
    </row>
    <row r="51" spans="2:16" ht="30" customHeight="1" x14ac:dyDescent="0.45">
      <c r="B51" s="88"/>
      <c r="C51" s="89"/>
      <c r="D51" s="89"/>
      <c r="E51" s="67" t="s">
        <v>16</v>
      </c>
      <c r="F51" s="77">
        <v>2</v>
      </c>
      <c r="G51" s="77">
        <v>1</v>
      </c>
      <c r="H51" s="69" t="str">
        <f t="shared" si="1"/>
        <v>1T0201</v>
      </c>
      <c r="I51" s="65">
        <f>I50+2</f>
        <v>13</v>
      </c>
      <c r="J51" s="65" t="str">
        <f>CONCATENATE(I51,"-",H51,"-","/",M48,"-",L51)</f>
        <v>13-1T0201-/MBFV-03-19</v>
      </c>
      <c r="K51" s="70" t="str">
        <f>CONCATENATE(L51,"-",M48,"/","-",H51,"-",I51)</f>
        <v>19-MBFV-03/-1T0201-13</v>
      </c>
      <c r="L51" s="73">
        <v>19</v>
      </c>
      <c r="M51" s="88"/>
      <c r="N51" s="159"/>
      <c r="O51" s="74" t="s">
        <v>175</v>
      </c>
      <c r="P51" s="162"/>
    </row>
    <row r="52" spans="2:16" ht="30" customHeight="1" x14ac:dyDescent="0.45">
      <c r="B52" s="88"/>
      <c r="C52" s="89"/>
      <c r="D52" s="89"/>
      <c r="E52" s="67" t="s">
        <v>17</v>
      </c>
      <c r="F52" s="77">
        <v>2</v>
      </c>
      <c r="G52" s="77">
        <v>1</v>
      </c>
      <c r="H52" s="69" t="str">
        <f t="shared" si="1"/>
        <v>1T0201</v>
      </c>
      <c r="I52" s="65">
        <f>I51+1</f>
        <v>14</v>
      </c>
      <c r="J52" s="65" t="str">
        <f>CONCATENATE(I52,"-",H52,"-","/",M48,"-",L52)</f>
        <v>14-1T0201-/MBFV-03-22</v>
      </c>
      <c r="K52" s="70" t="str">
        <f>CONCATENATE(L52,"-",M48,"/","-",H52,"-",I52)</f>
        <v>22-MBFV-03/-1T0201-14</v>
      </c>
      <c r="L52" s="73">
        <v>22</v>
      </c>
      <c r="M52" s="88"/>
      <c r="N52" s="159"/>
      <c r="O52" s="71" t="s">
        <v>31</v>
      </c>
      <c r="P52" s="162"/>
    </row>
    <row r="53" spans="2:16" ht="30" customHeight="1" x14ac:dyDescent="0.45">
      <c r="B53" s="88"/>
      <c r="C53" s="89"/>
      <c r="D53" s="89"/>
      <c r="E53" s="67" t="s">
        <v>18</v>
      </c>
      <c r="F53" s="77">
        <v>4</v>
      </c>
      <c r="G53" s="77">
        <v>3</v>
      </c>
      <c r="H53" s="69" t="str">
        <f t="shared" si="1"/>
        <v>1T0403</v>
      </c>
      <c r="I53" s="65">
        <v>11</v>
      </c>
      <c r="J53" s="65" t="str">
        <f>CONCATENATE(I53,"-",H53,"-","/",M48,"-",L53)</f>
        <v>11-1T0403-/MBFV-03-5</v>
      </c>
      <c r="K53" s="70" t="str">
        <f>CONCATENATE(L53,"-",M48,"/","-",H53,"-",I53)</f>
        <v>5-MBFV-03/-1T0403-11</v>
      </c>
      <c r="L53" s="73">
        <v>5</v>
      </c>
      <c r="M53" s="88"/>
      <c r="N53" s="159"/>
      <c r="O53" s="71" t="s">
        <v>198</v>
      </c>
      <c r="P53" s="89" t="str" cm="1">
        <f t="array" ref="P53">UPPER(
   "In PLC side, " &amp;
   _xlfn.TEXTJOIN(", ", TRUE,
      H53:INDEX(H53:H57, MATCH("COMMON",O53:O57,0)-2) &amp;
      ": " &amp;
      (I53:INDEX(I53:I57, MATCH("COMMON",O53:O57,0)-2)+1)
   ) &amp;
   " &amp; " &amp;
   INDEX(H53:H57, MATCH("COMMON",O53:O57,0)-1) &amp; ": " &amp;
   INDEX(I53:I57, MATCH("COMMON",O53:O57,0)-1)+1 &amp;
   " are already looped"
)</f>
        <v>IN PLC SIDE, 1T0403: 12 &amp; 1T0403: 14 ARE ALREADY LOOPED</v>
      </c>
    </row>
    <row r="54" spans="2:16" ht="30" customHeight="1" x14ac:dyDescent="0.45">
      <c r="B54" s="88"/>
      <c r="C54" s="89"/>
      <c r="D54" s="89"/>
      <c r="E54" s="67" t="s">
        <v>19</v>
      </c>
      <c r="F54" s="77">
        <v>4</v>
      </c>
      <c r="G54" s="77">
        <v>3</v>
      </c>
      <c r="H54" s="69" t="str">
        <f t="shared" si="1"/>
        <v>1T0403</v>
      </c>
      <c r="I54" s="65">
        <f>I53+2</f>
        <v>13</v>
      </c>
      <c r="J54" s="65" t="str">
        <f>CONCATENATE(I54,"-",H54,"-","/",M48,"-",L54)</f>
        <v>13-1T0403-/MBFV-03-7</v>
      </c>
      <c r="K54" s="70" t="str">
        <f>CONCATENATE(L54,"-",M48,"/","-",H54,"-",I54)</f>
        <v>7-MBFV-03/-1T0403-13</v>
      </c>
      <c r="L54" s="73">
        <v>7</v>
      </c>
      <c r="M54" s="88"/>
      <c r="N54" s="159"/>
      <c r="O54" s="71" t="s">
        <v>199</v>
      </c>
      <c r="P54" s="89"/>
    </row>
    <row r="55" spans="2:16" ht="30" customHeight="1" x14ac:dyDescent="0.45">
      <c r="B55" s="88"/>
      <c r="C55" s="89"/>
      <c r="D55" s="89"/>
      <c r="E55" s="67" t="s">
        <v>20</v>
      </c>
      <c r="F55" s="77">
        <v>4</v>
      </c>
      <c r="G55" s="77">
        <v>3</v>
      </c>
      <c r="H55" s="69" t="str">
        <f t="shared" si="1"/>
        <v>1T0403</v>
      </c>
      <c r="I55" s="65">
        <f>I54+1</f>
        <v>14</v>
      </c>
      <c r="J55" s="65" t="str">
        <f>CONCATENATE(I55,"-",H55,"-","/",M48,"-",L55)</f>
        <v>14-1T0403-/MBFV-03-8</v>
      </c>
      <c r="K55" s="70" t="str">
        <f>CONCATENATE(L55,"-",M48,"/","-",H55,"-",I55)</f>
        <v>8-MBFV-03/-1T0403-14</v>
      </c>
      <c r="L55" s="73">
        <v>8</v>
      </c>
      <c r="M55" s="88"/>
      <c r="N55" s="159"/>
      <c r="O55" s="71" t="s">
        <v>31</v>
      </c>
      <c r="P55" s="89"/>
    </row>
    <row r="56" spans="2:16" ht="30" customHeight="1" x14ac:dyDescent="0.45">
      <c r="B56" s="88"/>
      <c r="C56" s="89"/>
      <c r="D56" s="89"/>
      <c r="E56" s="67" t="s">
        <v>21</v>
      </c>
      <c r="F56" s="77" t="s">
        <v>45</v>
      </c>
      <c r="G56" s="77" t="s">
        <v>45</v>
      </c>
      <c r="H56" s="69" t="s">
        <v>45</v>
      </c>
      <c r="I56" s="65" t="s">
        <v>45</v>
      </c>
      <c r="J56" s="65" t="s">
        <v>45</v>
      </c>
      <c r="K56" s="65" t="s">
        <v>45</v>
      </c>
      <c r="L56" s="73" t="s">
        <v>45</v>
      </c>
      <c r="M56" s="88"/>
      <c r="N56" s="159"/>
      <c r="O56" s="71" t="s">
        <v>34</v>
      </c>
      <c r="P56" s="89"/>
    </row>
    <row r="57" spans="2:16" ht="30" customHeight="1" x14ac:dyDescent="0.45">
      <c r="B57" s="88"/>
      <c r="C57" s="89"/>
      <c r="D57" s="89"/>
      <c r="E57" s="67" t="s">
        <v>30</v>
      </c>
      <c r="F57" s="77" t="s">
        <v>45</v>
      </c>
      <c r="G57" s="77" t="s">
        <v>45</v>
      </c>
      <c r="H57" s="69" t="s">
        <v>45</v>
      </c>
      <c r="I57" s="65" t="s">
        <v>45</v>
      </c>
      <c r="J57" s="65" t="s">
        <v>45</v>
      </c>
      <c r="K57" s="65" t="s">
        <v>45</v>
      </c>
      <c r="L57" s="73" t="s">
        <v>45</v>
      </c>
      <c r="M57" s="88"/>
      <c r="N57" s="159"/>
      <c r="O57" s="71" t="s">
        <v>34</v>
      </c>
      <c r="P57" s="89"/>
    </row>
    <row r="58" spans="2:16" ht="30" customHeight="1" x14ac:dyDescent="0.45">
      <c r="B58" s="88">
        <f t="shared" ref="B58" si="9">B48+1</f>
        <v>6</v>
      </c>
      <c r="C58" s="89" t="s">
        <v>154</v>
      </c>
      <c r="D58" s="89" t="s">
        <v>200</v>
      </c>
      <c r="E58" s="67" t="s">
        <v>13</v>
      </c>
      <c r="F58" s="77">
        <v>2</v>
      </c>
      <c r="G58" s="77">
        <v>1</v>
      </c>
      <c r="H58" s="69" t="str">
        <f t="shared" si="1"/>
        <v>1T0201</v>
      </c>
      <c r="I58" s="65">
        <f>I52+1</f>
        <v>15</v>
      </c>
      <c r="J58" s="65" t="str">
        <f>CONCATENATE(I58,"-",H58,"-","/",M58,"-",L58)</f>
        <v>15-1T0201-/MBFV-04-42</v>
      </c>
      <c r="K58" s="70" t="str">
        <f t="shared" ref="K58" si="10">CONCATENATE(L58,"-",M58,"/","-",H58,"-",I58)</f>
        <v>42-MBFV-04/-1T0201-15</v>
      </c>
      <c r="L58" s="65">
        <v>42</v>
      </c>
      <c r="M58" s="88" t="str">
        <f>C58</f>
        <v>MBFV-04</v>
      </c>
      <c r="N58" s="159" t="s">
        <v>179</v>
      </c>
      <c r="O58" s="74" t="s">
        <v>172</v>
      </c>
      <c r="P58" s="161" t="str" cm="1">
        <f t="array" ref="P58">UPPER(
   "In PLC side, " &amp;
   _xlfn.TEXTJOIN(", ", TRUE,
      H58:INDEX(H58:H69, MATCH("COMMON",O58:O69,0)-2) &amp;
      ": " &amp;
      (I58:INDEX(I58:I69, MATCH("COMMON",O58:O69,0)-2)+1)
   ) &amp;
   " &amp; " &amp;
   INDEX(H58:H69, MATCH("COMMON",O58:O69,0)-1) &amp; ": " &amp;
   INDEX(I58:I69, MATCH("COMMON",O58:O69,0)-1)+1 &amp;
   " are already looped"
)</f>
        <v>IN PLC SIDE, 1T0201: 16, 1T0201: 18, 1T0201: 20 &amp; 1T0201: 22 ARE ALREADY LOOPED</v>
      </c>
    </row>
    <row r="59" spans="2:16" ht="30" customHeight="1" x14ac:dyDescent="0.45">
      <c r="B59" s="88"/>
      <c r="C59" s="89"/>
      <c r="D59" s="89"/>
      <c r="E59" s="67" t="s">
        <v>14</v>
      </c>
      <c r="F59" s="77">
        <v>2</v>
      </c>
      <c r="G59" s="77">
        <v>1</v>
      </c>
      <c r="H59" s="69" t="str">
        <f t="shared" si="1"/>
        <v>1T0201</v>
      </c>
      <c r="I59" s="65">
        <f>I58+2</f>
        <v>17</v>
      </c>
      <c r="J59" s="65" t="str">
        <f>CONCATENATE(I59,"-",H59,"-","/",M58,"-",L59)</f>
        <v>17-1T0201-/MBFV-04-38</v>
      </c>
      <c r="K59" s="70" t="str">
        <f>CONCATENATE(L59,"-",M58,"/","-",H59,"-",I59)</f>
        <v>38-MBFV-04/-1T0201-17</v>
      </c>
      <c r="L59" s="73">
        <v>38</v>
      </c>
      <c r="M59" s="88"/>
      <c r="N59" s="159"/>
      <c r="O59" s="74" t="s">
        <v>173</v>
      </c>
      <c r="P59" s="162"/>
    </row>
    <row r="60" spans="2:16" ht="30" customHeight="1" x14ac:dyDescent="0.45">
      <c r="B60" s="88"/>
      <c r="C60" s="89"/>
      <c r="D60" s="89"/>
      <c r="E60" s="67" t="s">
        <v>15</v>
      </c>
      <c r="F60" s="77">
        <v>2</v>
      </c>
      <c r="G60" s="77">
        <v>1</v>
      </c>
      <c r="H60" s="69" t="str">
        <f t="shared" si="1"/>
        <v>1T0201</v>
      </c>
      <c r="I60" s="65">
        <f>I59+2</f>
        <v>19</v>
      </c>
      <c r="J60" s="65" t="str">
        <f>CONCATENATE(I60,"-",H60,"-","/",M58,"-",L60)</f>
        <v>19-1T0201-/MBFV-04-15</v>
      </c>
      <c r="K60" s="70" t="str">
        <f>CONCATENATE(L60,"-",M58,"/","-",H60,"-",I60)</f>
        <v>15-MBFV-04/-1T0201-19</v>
      </c>
      <c r="L60" s="73">
        <v>15</v>
      </c>
      <c r="M60" s="88"/>
      <c r="N60" s="159"/>
      <c r="O60" s="74" t="s">
        <v>174</v>
      </c>
      <c r="P60" s="162"/>
    </row>
    <row r="61" spans="2:16" ht="30" customHeight="1" x14ac:dyDescent="0.45">
      <c r="B61" s="88"/>
      <c r="C61" s="89"/>
      <c r="D61" s="89"/>
      <c r="E61" s="67" t="s">
        <v>16</v>
      </c>
      <c r="F61" s="77">
        <v>2</v>
      </c>
      <c r="G61" s="77">
        <v>1</v>
      </c>
      <c r="H61" s="69" t="str">
        <f t="shared" si="1"/>
        <v>1T0201</v>
      </c>
      <c r="I61" s="65">
        <f>I60+2</f>
        <v>21</v>
      </c>
      <c r="J61" s="65" t="str">
        <f>CONCATENATE(I61,"-",H61,"-","/",M58,"-",L61)</f>
        <v>21-1T0201-/MBFV-04-19</v>
      </c>
      <c r="K61" s="70" t="str">
        <f>CONCATENATE(L61,"-",M58,"/","-",H61,"-",I61)</f>
        <v>19-MBFV-04/-1T0201-21</v>
      </c>
      <c r="L61" s="73">
        <v>19</v>
      </c>
      <c r="M61" s="88"/>
      <c r="N61" s="159"/>
      <c r="O61" s="74" t="s">
        <v>175</v>
      </c>
      <c r="P61" s="162"/>
    </row>
    <row r="62" spans="2:16" ht="30" customHeight="1" x14ac:dyDescent="0.45">
      <c r="B62" s="88"/>
      <c r="C62" s="89"/>
      <c r="D62" s="89"/>
      <c r="E62" s="67" t="s">
        <v>17</v>
      </c>
      <c r="F62" s="77">
        <v>2</v>
      </c>
      <c r="G62" s="77">
        <v>1</v>
      </c>
      <c r="H62" s="69" t="str">
        <f t="shared" si="1"/>
        <v>1T0201</v>
      </c>
      <c r="I62" s="65">
        <f>I61+1</f>
        <v>22</v>
      </c>
      <c r="J62" s="65" t="str">
        <f>CONCATENATE(I62,"-",H62,"-","/",M58,"-",L62)</f>
        <v>22-1T0201-/MBFV-04-22</v>
      </c>
      <c r="K62" s="70" t="str">
        <f>CONCATENATE(L62,"-",M58,"/","-",H62,"-",I62)</f>
        <v>22-MBFV-04/-1T0201-22</v>
      </c>
      <c r="L62" s="73">
        <v>22</v>
      </c>
      <c r="M62" s="88"/>
      <c r="N62" s="159"/>
      <c r="O62" s="71" t="s">
        <v>31</v>
      </c>
      <c r="P62" s="162"/>
    </row>
    <row r="63" spans="2:16" ht="30" customHeight="1" x14ac:dyDescent="0.45">
      <c r="B63" s="88"/>
      <c r="C63" s="89"/>
      <c r="D63" s="89"/>
      <c r="E63" s="67" t="s">
        <v>18</v>
      </c>
      <c r="F63" s="77">
        <v>4</v>
      </c>
      <c r="G63" s="77">
        <v>3</v>
      </c>
      <c r="H63" s="69" t="str">
        <f t="shared" si="1"/>
        <v>1T0403</v>
      </c>
      <c r="I63" s="65">
        <v>15</v>
      </c>
      <c r="J63" s="65" t="str">
        <f>CONCATENATE(I63,"-",H63,"-","/",M58,"-",L63)</f>
        <v>15-1T0403-/MBFV-04-5</v>
      </c>
      <c r="K63" s="70" t="str">
        <f>CONCATENATE(L63,"-",M58,"/","-",H63,"-",I63)</f>
        <v>5-MBFV-04/-1T0403-15</v>
      </c>
      <c r="L63" s="73">
        <v>5</v>
      </c>
      <c r="M63" s="88"/>
      <c r="N63" s="159"/>
      <c r="O63" s="71" t="s">
        <v>198</v>
      </c>
      <c r="P63" s="89" t="str" cm="1">
        <f t="array" ref="P63">UPPER(
   "In PLC side, " &amp;
   _xlfn.TEXTJOIN(", ", TRUE,
      H63:INDEX(H63:H67, MATCH("COMMON",O63:O67,0)-2) &amp;
      ": " &amp;
      (I63:INDEX(I63:I67, MATCH("COMMON",O63:O67,0)-2)+1)
   ) &amp;
   " &amp; " &amp;
   INDEX(H63:H67, MATCH("COMMON",O63:O67,0)-1) &amp; ": " &amp;
   INDEX(I63:I67, MATCH("COMMON",O63:O67,0)-1)+1 &amp;
   " are already looped"
)</f>
        <v>IN PLC SIDE, 1T0403: 16 &amp; 1T0403: 18 ARE ALREADY LOOPED</v>
      </c>
    </row>
    <row r="64" spans="2:16" ht="30" customHeight="1" x14ac:dyDescent="0.45">
      <c r="B64" s="88"/>
      <c r="C64" s="89"/>
      <c r="D64" s="89"/>
      <c r="E64" s="67" t="s">
        <v>19</v>
      </c>
      <c r="F64" s="77">
        <v>4</v>
      </c>
      <c r="G64" s="77">
        <v>3</v>
      </c>
      <c r="H64" s="69" t="str">
        <f t="shared" si="1"/>
        <v>1T0403</v>
      </c>
      <c r="I64" s="65">
        <f>I63+2</f>
        <v>17</v>
      </c>
      <c r="J64" s="65" t="str">
        <f>CONCATENATE(I64,"-",H64,"-","/",M58,"-",L64)</f>
        <v>17-1T0403-/MBFV-04-7</v>
      </c>
      <c r="K64" s="70" t="str">
        <f>CONCATENATE(L64,"-",M58,"/","-",H64,"-",I64)</f>
        <v>7-MBFV-04/-1T0403-17</v>
      </c>
      <c r="L64" s="73">
        <v>7</v>
      </c>
      <c r="M64" s="88"/>
      <c r="N64" s="159"/>
      <c r="O64" s="71" t="s">
        <v>199</v>
      </c>
      <c r="P64" s="89"/>
    </row>
    <row r="65" spans="2:16" ht="30" customHeight="1" x14ac:dyDescent="0.45">
      <c r="B65" s="88"/>
      <c r="C65" s="89"/>
      <c r="D65" s="89"/>
      <c r="E65" s="67" t="s">
        <v>20</v>
      </c>
      <c r="F65" s="77">
        <v>4</v>
      </c>
      <c r="G65" s="77">
        <v>3</v>
      </c>
      <c r="H65" s="69" t="str">
        <f t="shared" si="1"/>
        <v>1T0403</v>
      </c>
      <c r="I65" s="65">
        <f>I64+1</f>
        <v>18</v>
      </c>
      <c r="J65" s="65" t="str">
        <f>CONCATENATE(I65,"-",H65,"-","/",M58,"-",L65)</f>
        <v>18-1T0403-/MBFV-04-8</v>
      </c>
      <c r="K65" s="70" t="str">
        <f>CONCATENATE(L65,"-",M58,"/","-",H65,"-",I65)</f>
        <v>8-MBFV-04/-1T0403-18</v>
      </c>
      <c r="L65" s="73">
        <v>8</v>
      </c>
      <c r="M65" s="88"/>
      <c r="N65" s="159"/>
      <c r="O65" s="71" t="s">
        <v>31</v>
      </c>
      <c r="P65" s="89"/>
    </row>
    <row r="66" spans="2:16" ht="30" customHeight="1" x14ac:dyDescent="0.45">
      <c r="B66" s="88"/>
      <c r="C66" s="89"/>
      <c r="D66" s="89"/>
      <c r="E66" s="67" t="s">
        <v>21</v>
      </c>
      <c r="F66" s="77" t="s">
        <v>45</v>
      </c>
      <c r="G66" s="77" t="s">
        <v>45</v>
      </c>
      <c r="H66" s="69" t="s">
        <v>45</v>
      </c>
      <c r="I66" s="65" t="s">
        <v>45</v>
      </c>
      <c r="J66" s="65" t="s">
        <v>45</v>
      </c>
      <c r="K66" s="65" t="s">
        <v>45</v>
      </c>
      <c r="L66" s="73" t="s">
        <v>45</v>
      </c>
      <c r="M66" s="88"/>
      <c r="N66" s="159"/>
      <c r="O66" s="71" t="s">
        <v>34</v>
      </c>
      <c r="P66" s="89"/>
    </row>
    <row r="67" spans="2:16" ht="30" customHeight="1" x14ac:dyDescent="0.45">
      <c r="B67" s="88"/>
      <c r="C67" s="89"/>
      <c r="D67" s="89"/>
      <c r="E67" s="67" t="s">
        <v>30</v>
      </c>
      <c r="F67" s="77" t="s">
        <v>45</v>
      </c>
      <c r="G67" s="77" t="s">
        <v>45</v>
      </c>
      <c r="H67" s="69" t="s">
        <v>45</v>
      </c>
      <c r="I67" s="65" t="s">
        <v>45</v>
      </c>
      <c r="J67" s="65" t="s">
        <v>45</v>
      </c>
      <c r="K67" s="65" t="s">
        <v>45</v>
      </c>
      <c r="L67" s="73" t="s">
        <v>45</v>
      </c>
      <c r="M67" s="88"/>
      <c r="N67" s="159"/>
      <c r="O67" s="71" t="s">
        <v>34</v>
      </c>
      <c r="P67" s="89"/>
    </row>
    <row r="68" spans="2:16" ht="30" customHeight="1" x14ac:dyDescent="0.45">
      <c r="B68" s="88">
        <f t="shared" ref="B68" si="11">B58+1</f>
        <v>7</v>
      </c>
      <c r="C68" s="89" t="s">
        <v>155</v>
      </c>
      <c r="D68" s="89" t="s">
        <v>200</v>
      </c>
      <c r="E68" s="67" t="s">
        <v>13</v>
      </c>
      <c r="F68" s="77">
        <v>2</v>
      </c>
      <c r="G68" s="77">
        <v>1</v>
      </c>
      <c r="H68" s="69" t="str">
        <f t="shared" si="1"/>
        <v>1T0201</v>
      </c>
      <c r="I68" s="65">
        <f>I62+1</f>
        <v>23</v>
      </c>
      <c r="J68" s="65" t="str">
        <f>CONCATENATE(I68,"-",H68,"-","/",M68,"-",L68)</f>
        <v>23-1T0201-/MBFV-05-42</v>
      </c>
      <c r="K68" s="70" t="str">
        <f t="shared" ref="K68:K98" si="12">CONCATENATE(L68,"-",M68,"/","-",H68,"-",I68)</f>
        <v>42-MBFV-05/-1T0201-23</v>
      </c>
      <c r="L68" s="65">
        <v>42</v>
      </c>
      <c r="M68" s="88" t="str">
        <f>C68</f>
        <v>MBFV-05</v>
      </c>
      <c r="N68" s="159" t="s">
        <v>180</v>
      </c>
      <c r="O68" s="74" t="s">
        <v>172</v>
      </c>
      <c r="P68" s="161" t="str" cm="1">
        <f t="array" ref="P68">UPPER(
   "In PLC side, " &amp;
   _xlfn.TEXTJOIN(", ", TRUE,
      H68:INDEX(H68:H79, MATCH("COMMON",O68:O79,0)-2) &amp;
      ": " &amp;
      (I68:INDEX(I68:I79, MATCH("COMMON",O68:O79,0)-2)+1)
   ) &amp;
   " &amp; " &amp;
   INDEX(H68:H79, MATCH("COMMON",O68:O79,0)-1) &amp; ": " &amp;
   INDEX(I68:I79, MATCH("COMMON",O68:O79,0)-1)+1 &amp;
   " are already looped"
)</f>
        <v>IN PLC SIDE, 1T0201: 24, 1T0201: 26, 1T0202: 2 &amp; 1T0202: 4 ARE ALREADY LOOPED</v>
      </c>
    </row>
    <row r="69" spans="2:16" ht="30" customHeight="1" x14ac:dyDescent="0.45">
      <c r="B69" s="88"/>
      <c r="C69" s="89"/>
      <c r="D69" s="89"/>
      <c r="E69" s="67" t="s">
        <v>14</v>
      </c>
      <c r="F69" s="77">
        <v>2</v>
      </c>
      <c r="G69" s="77">
        <v>1</v>
      </c>
      <c r="H69" s="69" t="str">
        <f t="shared" si="1"/>
        <v>1T0201</v>
      </c>
      <c r="I69" s="65">
        <f>I68+2</f>
        <v>25</v>
      </c>
      <c r="J69" s="65" t="str">
        <f>CONCATENATE(I69,"-",H69,"-","/",M68,"-",L69)</f>
        <v>25-1T0201-/MBFV-05-38</v>
      </c>
      <c r="K69" s="70" t="str">
        <f t="shared" ref="K69" si="13">CONCATENATE(L69,"-",M68,"/","-",H69,"-",I69)</f>
        <v>38-MBFV-05/-1T0201-25</v>
      </c>
      <c r="L69" s="73">
        <v>38</v>
      </c>
      <c r="M69" s="88"/>
      <c r="N69" s="159"/>
      <c r="O69" s="74" t="s">
        <v>173</v>
      </c>
      <c r="P69" s="162"/>
    </row>
    <row r="70" spans="2:16" ht="30" customHeight="1" x14ac:dyDescent="0.45">
      <c r="B70" s="88"/>
      <c r="C70" s="89"/>
      <c r="D70" s="89"/>
      <c r="E70" s="67" t="s">
        <v>15</v>
      </c>
      <c r="F70" s="77">
        <v>2</v>
      </c>
      <c r="G70" s="77">
        <v>2</v>
      </c>
      <c r="H70" s="69" t="str">
        <f t="shared" si="1"/>
        <v>1T0202</v>
      </c>
      <c r="I70" s="65">
        <v>1</v>
      </c>
      <c r="J70" s="65" t="str">
        <f>CONCATENATE(I70,"-",H70,"-","/",M68,"-",L70)</f>
        <v>1-1T0202-/MBFV-05-15</v>
      </c>
      <c r="K70" s="70" t="str">
        <f t="shared" ref="K70" si="14">CONCATENATE(L70,"-",M68,"/","-",H70,"-",I70)</f>
        <v>15-MBFV-05/-1T0202-1</v>
      </c>
      <c r="L70" s="73">
        <v>15</v>
      </c>
      <c r="M70" s="88"/>
      <c r="N70" s="159"/>
      <c r="O70" s="74" t="s">
        <v>174</v>
      </c>
      <c r="P70" s="162"/>
    </row>
    <row r="71" spans="2:16" ht="30" customHeight="1" x14ac:dyDescent="0.45">
      <c r="B71" s="88"/>
      <c r="C71" s="89"/>
      <c r="D71" s="89"/>
      <c r="E71" s="67" t="s">
        <v>16</v>
      </c>
      <c r="F71" s="77">
        <v>2</v>
      </c>
      <c r="G71" s="77">
        <v>2</v>
      </c>
      <c r="H71" s="69" t="str">
        <f t="shared" si="1"/>
        <v>1T0202</v>
      </c>
      <c r="I71" s="65">
        <f>I70+2</f>
        <v>3</v>
      </c>
      <c r="J71" s="65" t="str">
        <f>CONCATENATE(I71,"-",H71,"-","/",M68,"-",L71)</f>
        <v>3-1T0202-/MBFV-05-19</v>
      </c>
      <c r="K71" s="70" t="str">
        <f t="shared" ref="K71" si="15">CONCATENATE(L71,"-",M68,"/","-",H71,"-",I71)</f>
        <v>19-MBFV-05/-1T0202-3</v>
      </c>
      <c r="L71" s="73">
        <v>19</v>
      </c>
      <c r="M71" s="88"/>
      <c r="N71" s="159"/>
      <c r="O71" s="74" t="s">
        <v>175</v>
      </c>
      <c r="P71" s="162"/>
    </row>
    <row r="72" spans="2:16" ht="30" customHeight="1" x14ac:dyDescent="0.45">
      <c r="B72" s="88"/>
      <c r="C72" s="89"/>
      <c r="D72" s="89"/>
      <c r="E72" s="67" t="s">
        <v>17</v>
      </c>
      <c r="F72" s="77">
        <v>2</v>
      </c>
      <c r="G72" s="77">
        <v>2</v>
      </c>
      <c r="H72" s="69" t="str">
        <f t="shared" si="1"/>
        <v>1T0202</v>
      </c>
      <c r="I72" s="65">
        <f>I71+1</f>
        <v>4</v>
      </c>
      <c r="J72" s="65" t="str">
        <f>CONCATENATE(I72,"-",H72,"-","/",M68,"-",L72)</f>
        <v>4-1T0202-/MBFV-05-22</v>
      </c>
      <c r="K72" s="70" t="str">
        <f t="shared" ref="K72" si="16">CONCATENATE(L72,"-",M68,"/","-",H72,"-",I72)</f>
        <v>22-MBFV-05/-1T0202-4</v>
      </c>
      <c r="L72" s="73">
        <v>22</v>
      </c>
      <c r="M72" s="88"/>
      <c r="N72" s="159"/>
      <c r="O72" s="71" t="s">
        <v>31</v>
      </c>
      <c r="P72" s="162"/>
    </row>
    <row r="73" spans="2:16" ht="30" customHeight="1" x14ac:dyDescent="0.45">
      <c r="B73" s="88"/>
      <c r="C73" s="89"/>
      <c r="D73" s="89"/>
      <c r="E73" s="67" t="s">
        <v>18</v>
      </c>
      <c r="F73" s="77">
        <v>4</v>
      </c>
      <c r="G73" s="77">
        <v>3</v>
      </c>
      <c r="H73" s="69" t="str">
        <f t="shared" ref="H73:H135" si="17">"1T"&amp;TEXT(F73,"00")&amp;TEXT(G73,"00")</f>
        <v>1T0403</v>
      </c>
      <c r="I73" s="65">
        <v>19</v>
      </c>
      <c r="J73" s="65" t="str">
        <f>CONCATENATE(I73,"-",H73,"-","/",M68,"-",L73)</f>
        <v>19-1T0403-/MBFV-05-5</v>
      </c>
      <c r="K73" s="70" t="str">
        <f t="shared" ref="K73" si="18">CONCATENATE(L73,"-",M68,"/","-",H73,"-",I73)</f>
        <v>5-MBFV-05/-1T0403-19</v>
      </c>
      <c r="L73" s="73">
        <v>5</v>
      </c>
      <c r="M73" s="88"/>
      <c r="N73" s="159"/>
      <c r="O73" s="71" t="s">
        <v>198</v>
      </c>
      <c r="P73" s="89" t="str" cm="1">
        <f t="array" ref="P73">UPPER(
   "In PLC side, " &amp;
   _xlfn.TEXTJOIN(", ", TRUE,
      H73:INDEX(H73:H77, MATCH("COMMON",O73:O77,0)-2) &amp;
      ": " &amp;
      (I73:INDEX(I73:I77, MATCH("COMMON",O73:O77,0)-2)+1)
   ) &amp;
   " &amp; " &amp;
   INDEX(H73:H77, MATCH("COMMON",O73:O77,0)-1) &amp; ": " &amp;
   INDEX(I73:I77, MATCH("COMMON",O73:O77,0)-1)+1 &amp;
   " are already looped"
)</f>
        <v>IN PLC SIDE, 1T0403: 20 &amp; 1T0403: 22 ARE ALREADY LOOPED</v>
      </c>
    </row>
    <row r="74" spans="2:16" ht="30" customHeight="1" x14ac:dyDescent="0.45">
      <c r="B74" s="88"/>
      <c r="C74" s="89"/>
      <c r="D74" s="89"/>
      <c r="E74" s="67" t="s">
        <v>19</v>
      </c>
      <c r="F74" s="77">
        <v>4</v>
      </c>
      <c r="G74" s="77">
        <v>3</v>
      </c>
      <c r="H74" s="69" t="str">
        <f t="shared" si="17"/>
        <v>1T0403</v>
      </c>
      <c r="I74" s="65">
        <f>I73+2</f>
        <v>21</v>
      </c>
      <c r="J74" s="65" t="str">
        <f>CONCATENATE(I74,"-",H74,"-","/",M68,"-",L74)</f>
        <v>21-1T0403-/MBFV-05-7</v>
      </c>
      <c r="K74" s="70" t="str">
        <f t="shared" ref="K74" si="19">CONCATENATE(L74,"-",M68,"/","-",H74,"-",I74)</f>
        <v>7-MBFV-05/-1T0403-21</v>
      </c>
      <c r="L74" s="73">
        <v>7</v>
      </c>
      <c r="M74" s="88"/>
      <c r="N74" s="159"/>
      <c r="O74" s="71" t="s">
        <v>199</v>
      </c>
      <c r="P74" s="89"/>
    </row>
    <row r="75" spans="2:16" ht="30" customHeight="1" x14ac:dyDescent="0.45">
      <c r="B75" s="88"/>
      <c r="C75" s="89"/>
      <c r="D75" s="89"/>
      <c r="E75" s="67" t="s">
        <v>20</v>
      </c>
      <c r="F75" s="77">
        <v>4</v>
      </c>
      <c r="G75" s="77">
        <v>3</v>
      </c>
      <c r="H75" s="69" t="str">
        <f t="shared" si="17"/>
        <v>1T0403</v>
      </c>
      <c r="I75" s="65">
        <f>I74+1</f>
        <v>22</v>
      </c>
      <c r="J75" s="65" t="str">
        <f>CONCATENATE(I75,"-",H75,"-","/",M68,"-",L75)</f>
        <v>22-1T0403-/MBFV-05-8</v>
      </c>
      <c r="K75" s="70" t="str">
        <f t="shared" ref="K75" si="20">CONCATENATE(L75,"-",M68,"/","-",H75,"-",I75)</f>
        <v>8-MBFV-05/-1T0403-22</v>
      </c>
      <c r="L75" s="73">
        <v>8</v>
      </c>
      <c r="M75" s="88"/>
      <c r="N75" s="159"/>
      <c r="O75" s="71" t="s">
        <v>31</v>
      </c>
      <c r="P75" s="89"/>
    </row>
    <row r="76" spans="2:16" ht="30" customHeight="1" x14ac:dyDescent="0.45">
      <c r="B76" s="88"/>
      <c r="C76" s="89"/>
      <c r="D76" s="89"/>
      <c r="E76" s="67" t="s">
        <v>21</v>
      </c>
      <c r="F76" s="77" t="s">
        <v>45</v>
      </c>
      <c r="G76" s="77" t="s">
        <v>45</v>
      </c>
      <c r="H76" s="69" t="s">
        <v>45</v>
      </c>
      <c r="I76" s="65" t="s">
        <v>45</v>
      </c>
      <c r="J76" s="65" t="s">
        <v>45</v>
      </c>
      <c r="K76" s="65" t="s">
        <v>45</v>
      </c>
      <c r="L76" s="73" t="s">
        <v>45</v>
      </c>
      <c r="M76" s="88"/>
      <c r="N76" s="159"/>
      <c r="O76" s="71" t="s">
        <v>34</v>
      </c>
      <c r="P76" s="89"/>
    </row>
    <row r="77" spans="2:16" ht="30" customHeight="1" x14ac:dyDescent="0.45">
      <c r="B77" s="88"/>
      <c r="C77" s="89"/>
      <c r="D77" s="89"/>
      <c r="E77" s="67" t="s">
        <v>30</v>
      </c>
      <c r="F77" s="77" t="s">
        <v>45</v>
      </c>
      <c r="G77" s="77" t="s">
        <v>45</v>
      </c>
      <c r="H77" s="69" t="s">
        <v>45</v>
      </c>
      <c r="I77" s="65" t="s">
        <v>45</v>
      </c>
      <c r="J77" s="65" t="s">
        <v>45</v>
      </c>
      <c r="K77" s="65" t="s">
        <v>45</v>
      </c>
      <c r="L77" s="73" t="s">
        <v>45</v>
      </c>
      <c r="M77" s="88"/>
      <c r="N77" s="159"/>
      <c r="O77" s="71" t="s">
        <v>34</v>
      </c>
      <c r="P77" s="89"/>
    </row>
    <row r="78" spans="2:16" ht="30" customHeight="1" x14ac:dyDescent="0.45">
      <c r="B78" s="88">
        <f t="shared" ref="B78" si="21">B68+1</f>
        <v>8</v>
      </c>
      <c r="C78" s="89" t="s">
        <v>156</v>
      </c>
      <c r="D78" s="89" t="s">
        <v>200</v>
      </c>
      <c r="E78" s="67" t="s">
        <v>13</v>
      </c>
      <c r="F78" s="77">
        <v>2</v>
      </c>
      <c r="G78" s="77">
        <v>2</v>
      </c>
      <c r="H78" s="69" t="str">
        <f t="shared" si="17"/>
        <v>1T0202</v>
      </c>
      <c r="I78" s="65">
        <f>I72+1</f>
        <v>5</v>
      </c>
      <c r="J78" s="65" t="str">
        <f>CONCATENATE(I78,"-",H78,"-","/",M78,"-",L78)</f>
        <v>5-1T0202-/MBFV-06-42</v>
      </c>
      <c r="K78" s="70" t="str">
        <f t="shared" si="12"/>
        <v>42-MBFV-06/-1T0202-5</v>
      </c>
      <c r="L78" s="65">
        <v>42</v>
      </c>
      <c r="M78" s="88" t="str">
        <f>C78</f>
        <v>MBFV-06</v>
      </c>
      <c r="N78" s="159" t="s">
        <v>181</v>
      </c>
      <c r="O78" s="74" t="s">
        <v>172</v>
      </c>
      <c r="P78" s="161" t="str" cm="1">
        <f t="array" ref="P78">UPPER(
   "In PLC side, " &amp;
   _xlfn.TEXTJOIN(", ", TRUE,
      H78:INDEX(H78:H89, MATCH("COMMON",O78:O89,0)-2) &amp;
      ": " &amp;
      (I78:INDEX(I78:I89, MATCH("COMMON",O78:O89,0)-2)+1)
   ) &amp;
   " &amp; " &amp;
   INDEX(H78:H89, MATCH("COMMON",O78:O89,0)-1) &amp; ": " &amp;
   INDEX(I78:I89, MATCH("COMMON",O78:O89,0)-1)+1 &amp;
   " are already looped"
)</f>
        <v>IN PLC SIDE, 1T0202: 6, 1T0202: 8, 1T0202: 10 &amp; 1T0202: 12 ARE ALREADY LOOPED</v>
      </c>
    </row>
    <row r="79" spans="2:16" ht="30" customHeight="1" x14ac:dyDescent="0.45">
      <c r="B79" s="88"/>
      <c r="C79" s="89"/>
      <c r="D79" s="89"/>
      <c r="E79" s="67" t="s">
        <v>14</v>
      </c>
      <c r="F79" s="77">
        <v>2</v>
      </c>
      <c r="G79" s="77">
        <v>2</v>
      </c>
      <c r="H79" s="69" t="str">
        <f t="shared" si="17"/>
        <v>1T0202</v>
      </c>
      <c r="I79" s="65">
        <f>I78+2</f>
        <v>7</v>
      </c>
      <c r="J79" s="65" t="str">
        <f>CONCATENATE(I79,"-",H79,"-","/",M78,"-",L79)</f>
        <v>7-1T0202-/MBFV-06-38</v>
      </c>
      <c r="K79" s="70" t="str">
        <f t="shared" ref="K79" si="22">CONCATENATE(L79,"-",M78,"/","-",H79,"-",I79)</f>
        <v>38-MBFV-06/-1T0202-7</v>
      </c>
      <c r="L79" s="73">
        <v>38</v>
      </c>
      <c r="M79" s="88"/>
      <c r="N79" s="159"/>
      <c r="O79" s="74" t="s">
        <v>173</v>
      </c>
      <c r="P79" s="162"/>
    </row>
    <row r="80" spans="2:16" ht="30" customHeight="1" x14ac:dyDescent="0.45">
      <c r="B80" s="88"/>
      <c r="C80" s="89"/>
      <c r="D80" s="89"/>
      <c r="E80" s="67" t="s">
        <v>15</v>
      </c>
      <c r="F80" s="77">
        <v>2</v>
      </c>
      <c r="G80" s="77">
        <v>2</v>
      </c>
      <c r="H80" s="69" t="str">
        <f t="shared" si="17"/>
        <v>1T0202</v>
      </c>
      <c r="I80" s="65">
        <f>I79+2</f>
        <v>9</v>
      </c>
      <c r="J80" s="65" t="str">
        <f>CONCATENATE(I80,"-",H80,"-","/",M78,"-",L80)</f>
        <v>9-1T0202-/MBFV-06-15</v>
      </c>
      <c r="K80" s="70" t="str">
        <f t="shared" ref="K80" si="23">CONCATENATE(L80,"-",M78,"/","-",H80,"-",I80)</f>
        <v>15-MBFV-06/-1T0202-9</v>
      </c>
      <c r="L80" s="73">
        <v>15</v>
      </c>
      <c r="M80" s="88"/>
      <c r="N80" s="159"/>
      <c r="O80" s="74" t="s">
        <v>174</v>
      </c>
      <c r="P80" s="162"/>
    </row>
    <row r="81" spans="2:16" ht="30" customHeight="1" x14ac:dyDescent="0.45">
      <c r="B81" s="88"/>
      <c r="C81" s="89"/>
      <c r="D81" s="89"/>
      <c r="E81" s="67" t="s">
        <v>16</v>
      </c>
      <c r="F81" s="77">
        <v>2</v>
      </c>
      <c r="G81" s="77">
        <v>2</v>
      </c>
      <c r="H81" s="69" t="str">
        <f t="shared" si="17"/>
        <v>1T0202</v>
      </c>
      <c r="I81" s="65">
        <f>I80+2</f>
        <v>11</v>
      </c>
      <c r="J81" s="65" t="str">
        <f>CONCATENATE(I81,"-",H81,"-","/",M78,"-",L81)</f>
        <v>11-1T0202-/MBFV-06-19</v>
      </c>
      <c r="K81" s="70" t="str">
        <f t="shared" ref="K81" si="24">CONCATENATE(L81,"-",M78,"/","-",H81,"-",I81)</f>
        <v>19-MBFV-06/-1T0202-11</v>
      </c>
      <c r="L81" s="73">
        <v>19</v>
      </c>
      <c r="M81" s="88"/>
      <c r="N81" s="159"/>
      <c r="O81" s="74" t="s">
        <v>175</v>
      </c>
      <c r="P81" s="162"/>
    </row>
    <row r="82" spans="2:16" ht="30" customHeight="1" x14ac:dyDescent="0.45">
      <c r="B82" s="88"/>
      <c r="C82" s="89"/>
      <c r="D82" s="89"/>
      <c r="E82" s="67" t="s">
        <v>17</v>
      </c>
      <c r="F82" s="77">
        <v>2</v>
      </c>
      <c r="G82" s="77">
        <v>2</v>
      </c>
      <c r="H82" s="69" t="str">
        <f t="shared" si="17"/>
        <v>1T0202</v>
      </c>
      <c r="I82" s="65">
        <f>I81+1</f>
        <v>12</v>
      </c>
      <c r="J82" s="65" t="str">
        <f>CONCATENATE(I82,"-",H82,"-","/",M78,"-",L82)</f>
        <v>12-1T0202-/MBFV-06-22</v>
      </c>
      <c r="K82" s="70" t="str">
        <f t="shared" ref="K82" si="25">CONCATENATE(L82,"-",M78,"/","-",H82,"-",I82)</f>
        <v>22-MBFV-06/-1T0202-12</v>
      </c>
      <c r="L82" s="73">
        <v>22</v>
      </c>
      <c r="M82" s="88"/>
      <c r="N82" s="159"/>
      <c r="O82" s="71" t="s">
        <v>31</v>
      </c>
      <c r="P82" s="162"/>
    </row>
    <row r="83" spans="2:16" ht="30" customHeight="1" x14ac:dyDescent="0.45">
      <c r="B83" s="88"/>
      <c r="C83" s="89"/>
      <c r="D83" s="89"/>
      <c r="E83" s="67" t="s">
        <v>18</v>
      </c>
      <c r="F83" s="77">
        <v>4</v>
      </c>
      <c r="G83" s="77">
        <v>3</v>
      </c>
      <c r="H83" s="69" t="str">
        <f t="shared" si="17"/>
        <v>1T0403</v>
      </c>
      <c r="I83" s="65">
        <v>23</v>
      </c>
      <c r="J83" s="65" t="str">
        <f>CONCATENATE(I83,"-",H83,"-","/",M78,"-",L83)</f>
        <v>23-1T0403-/MBFV-06-5</v>
      </c>
      <c r="K83" s="70" t="str">
        <f t="shared" ref="K83" si="26">CONCATENATE(L83,"-",M78,"/","-",H83,"-",I83)</f>
        <v>5-MBFV-06/-1T0403-23</v>
      </c>
      <c r="L83" s="73">
        <v>5</v>
      </c>
      <c r="M83" s="88"/>
      <c r="N83" s="159"/>
      <c r="O83" s="71" t="s">
        <v>198</v>
      </c>
      <c r="P83" s="89" t="str" cm="1">
        <f t="array" ref="P83">UPPER(
   "In PLC side, " &amp;
   _xlfn.TEXTJOIN(", ", TRUE,
      H83:INDEX(H83:H87, MATCH("COMMON",O83:O87,0)-2) &amp;
      ": " &amp;
      (I83:INDEX(I83:I87, MATCH("COMMON",O83:O87,0)-2)+1)
   ) &amp;
   " &amp; " &amp;
   INDEX(H83:H87, MATCH("COMMON",O83:O87,0)-1) &amp; ": " &amp;
   INDEX(I83:I87, MATCH("COMMON",O83:O87,0)-1)+1 &amp;
   " are already looped"
)</f>
        <v>IN PLC SIDE, 1T0403: 24 &amp; 1T0403: 26 ARE ALREADY LOOPED</v>
      </c>
    </row>
    <row r="84" spans="2:16" ht="30" customHeight="1" x14ac:dyDescent="0.45">
      <c r="B84" s="88"/>
      <c r="C84" s="89"/>
      <c r="D84" s="89"/>
      <c r="E84" s="67" t="s">
        <v>19</v>
      </c>
      <c r="F84" s="77">
        <v>4</v>
      </c>
      <c r="G84" s="77">
        <v>3</v>
      </c>
      <c r="H84" s="69" t="str">
        <f t="shared" si="17"/>
        <v>1T0403</v>
      </c>
      <c r="I84" s="65">
        <f>I83+2</f>
        <v>25</v>
      </c>
      <c r="J84" s="65" t="str">
        <f>CONCATENATE(I84,"-",H84,"-","/",M78,"-",L84)</f>
        <v>25-1T0403-/MBFV-06-7</v>
      </c>
      <c r="K84" s="70" t="str">
        <f t="shared" ref="K84" si="27">CONCATENATE(L84,"-",M78,"/","-",H84,"-",I84)</f>
        <v>7-MBFV-06/-1T0403-25</v>
      </c>
      <c r="L84" s="73">
        <v>7</v>
      </c>
      <c r="M84" s="88"/>
      <c r="N84" s="159"/>
      <c r="O84" s="71" t="s">
        <v>199</v>
      </c>
      <c r="P84" s="89"/>
    </row>
    <row r="85" spans="2:16" ht="30" customHeight="1" x14ac:dyDescent="0.45">
      <c r="B85" s="88"/>
      <c r="C85" s="89"/>
      <c r="D85" s="89"/>
      <c r="E85" s="67" t="s">
        <v>20</v>
      </c>
      <c r="F85" s="77">
        <v>4</v>
      </c>
      <c r="G85" s="77">
        <v>3</v>
      </c>
      <c r="H85" s="69" t="str">
        <f t="shared" si="17"/>
        <v>1T0403</v>
      </c>
      <c r="I85" s="65">
        <f>I84+1</f>
        <v>26</v>
      </c>
      <c r="J85" s="65" t="str">
        <f>CONCATENATE(I85,"-",H85,"-","/",M78,"-",L85)</f>
        <v>26-1T0403-/MBFV-06-8</v>
      </c>
      <c r="K85" s="70" t="str">
        <f t="shared" ref="K85" si="28">CONCATENATE(L85,"-",M78,"/","-",H85,"-",I85)</f>
        <v>8-MBFV-06/-1T0403-26</v>
      </c>
      <c r="L85" s="73">
        <v>8</v>
      </c>
      <c r="M85" s="88"/>
      <c r="N85" s="159"/>
      <c r="O85" s="71" t="s">
        <v>31</v>
      </c>
      <c r="P85" s="89"/>
    </row>
    <row r="86" spans="2:16" ht="30" customHeight="1" x14ac:dyDescent="0.45">
      <c r="B86" s="88"/>
      <c r="C86" s="89"/>
      <c r="D86" s="89"/>
      <c r="E86" s="67" t="s">
        <v>21</v>
      </c>
      <c r="F86" s="77" t="s">
        <v>45</v>
      </c>
      <c r="G86" s="77" t="s">
        <v>45</v>
      </c>
      <c r="H86" s="69" t="s">
        <v>45</v>
      </c>
      <c r="I86" s="65" t="s">
        <v>45</v>
      </c>
      <c r="J86" s="65" t="s">
        <v>45</v>
      </c>
      <c r="K86" s="65" t="s">
        <v>45</v>
      </c>
      <c r="L86" s="73" t="s">
        <v>45</v>
      </c>
      <c r="M86" s="88"/>
      <c r="N86" s="159"/>
      <c r="O86" s="71" t="s">
        <v>34</v>
      </c>
      <c r="P86" s="89"/>
    </row>
    <row r="87" spans="2:16" ht="30" customHeight="1" x14ac:dyDescent="0.45">
      <c r="B87" s="88"/>
      <c r="C87" s="89"/>
      <c r="D87" s="89"/>
      <c r="E87" s="67" t="s">
        <v>30</v>
      </c>
      <c r="F87" s="77" t="s">
        <v>45</v>
      </c>
      <c r="G87" s="77" t="s">
        <v>45</v>
      </c>
      <c r="H87" s="69" t="s">
        <v>45</v>
      </c>
      <c r="I87" s="65" t="s">
        <v>45</v>
      </c>
      <c r="J87" s="65" t="s">
        <v>45</v>
      </c>
      <c r="K87" s="65" t="s">
        <v>45</v>
      </c>
      <c r="L87" s="73" t="s">
        <v>45</v>
      </c>
      <c r="M87" s="88"/>
      <c r="N87" s="159"/>
      <c r="O87" s="71" t="s">
        <v>34</v>
      </c>
      <c r="P87" s="89"/>
    </row>
    <row r="88" spans="2:16" ht="30" customHeight="1" x14ac:dyDescent="0.45">
      <c r="B88" s="88">
        <f t="shared" ref="B88" si="29">B78+1</f>
        <v>9</v>
      </c>
      <c r="C88" s="89" t="s">
        <v>157</v>
      </c>
      <c r="D88" s="89" t="s">
        <v>200</v>
      </c>
      <c r="E88" s="67" t="s">
        <v>13</v>
      </c>
      <c r="F88" s="77">
        <v>2</v>
      </c>
      <c r="G88" s="77">
        <v>2</v>
      </c>
      <c r="H88" s="69" t="str">
        <f t="shared" si="17"/>
        <v>1T0202</v>
      </c>
      <c r="I88" s="65">
        <f>I82+1</f>
        <v>13</v>
      </c>
      <c r="J88" s="65" t="str">
        <f>CONCATENATE(I88,"-",H88,"-","/",M88,"-",L88)</f>
        <v>13-1T0202-/MBFV-07-42</v>
      </c>
      <c r="K88" s="70" t="str">
        <f t="shared" si="12"/>
        <v>42-MBFV-07/-1T0202-13</v>
      </c>
      <c r="L88" s="65">
        <v>42</v>
      </c>
      <c r="M88" s="88" t="str">
        <f>C88</f>
        <v>MBFV-07</v>
      </c>
      <c r="N88" s="159" t="s">
        <v>182</v>
      </c>
      <c r="O88" s="74" t="s">
        <v>172</v>
      </c>
      <c r="P88" s="161" t="str" cm="1">
        <f t="array" ref="P88">UPPER(
   "In PLC side, " &amp;
   _xlfn.TEXTJOIN(", ", TRUE,
      H88:INDEX(H88:H99, MATCH("COMMON",O88:O99,0)-2) &amp;
      ": " &amp;
      (I88:INDEX(I88:I99, MATCH("COMMON",O88:O99,0)-2)+1)
   ) &amp;
   " &amp; " &amp;
   INDEX(H88:H99, MATCH("COMMON",O88:O99,0)-1) &amp; ": " &amp;
   INDEX(I88:I99, MATCH("COMMON",O88:O99,0)-1)+1 &amp;
   " are already looped"
)</f>
        <v>IN PLC SIDE, 1T0202: 14, 1T0202: 16, 1T0202: 18 &amp; 1T0202: 20 ARE ALREADY LOOPED</v>
      </c>
    </row>
    <row r="89" spans="2:16" ht="30" customHeight="1" x14ac:dyDescent="0.45">
      <c r="B89" s="88"/>
      <c r="C89" s="89"/>
      <c r="D89" s="89"/>
      <c r="E89" s="67" t="s">
        <v>14</v>
      </c>
      <c r="F89" s="77">
        <v>2</v>
      </c>
      <c r="G89" s="77">
        <v>2</v>
      </c>
      <c r="H89" s="69" t="str">
        <f t="shared" si="17"/>
        <v>1T0202</v>
      </c>
      <c r="I89" s="65">
        <f>I88+2</f>
        <v>15</v>
      </c>
      <c r="J89" s="65" t="str">
        <f>CONCATENATE(I89,"-",H89,"-","/",M88,"-",L89)</f>
        <v>15-1T0202-/MBFV-07-38</v>
      </c>
      <c r="K89" s="70" t="str">
        <f t="shared" ref="K89:K99" si="30">CONCATENATE(L89,"-",M88,"/","-",H89,"-",I89)</f>
        <v>38-MBFV-07/-1T0202-15</v>
      </c>
      <c r="L89" s="73">
        <v>38</v>
      </c>
      <c r="M89" s="88"/>
      <c r="N89" s="159"/>
      <c r="O89" s="74" t="s">
        <v>173</v>
      </c>
      <c r="P89" s="162"/>
    </row>
    <row r="90" spans="2:16" ht="30" customHeight="1" x14ac:dyDescent="0.45">
      <c r="B90" s="88"/>
      <c r="C90" s="89"/>
      <c r="D90" s="89"/>
      <c r="E90" s="67" t="s">
        <v>15</v>
      </c>
      <c r="F90" s="77">
        <v>2</v>
      </c>
      <c r="G90" s="77">
        <v>2</v>
      </c>
      <c r="H90" s="69" t="str">
        <f t="shared" si="17"/>
        <v>1T0202</v>
      </c>
      <c r="I90" s="65">
        <f>I89+2</f>
        <v>17</v>
      </c>
      <c r="J90" s="65" t="str">
        <f>CONCATENATE(I90,"-",H90,"-","/",M88,"-",L90)</f>
        <v>17-1T0202-/MBFV-07-15</v>
      </c>
      <c r="K90" s="70" t="str">
        <f t="shared" ref="K90:K100" si="31">CONCATENATE(L90,"-",M88,"/","-",H90,"-",I90)</f>
        <v>15-MBFV-07/-1T0202-17</v>
      </c>
      <c r="L90" s="73">
        <v>15</v>
      </c>
      <c r="M90" s="88"/>
      <c r="N90" s="159"/>
      <c r="O90" s="74" t="s">
        <v>174</v>
      </c>
      <c r="P90" s="162"/>
    </row>
    <row r="91" spans="2:16" ht="30" customHeight="1" x14ac:dyDescent="0.45">
      <c r="B91" s="88"/>
      <c r="C91" s="89"/>
      <c r="D91" s="89"/>
      <c r="E91" s="67" t="s">
        <v>16</v>
      </c>
      <c r="F91" s="77">
        <v>2</v>
      </c>
      <c r="G91" s="77">
        <v>2</v>
      </c>
      <c r="H91" s="69" t="str">
        <f t="shared" si="17"/>
        <v>1T0202</v>
      </c>
      <c r="I91" s="65">
        <f>I90+2</f>
        <v>19</v>
      </c>
      <c r="J91" s="65" t="str">
        <f>CONCATENATE(I91,"-",H91,"-","/",M88,"-",L91)</f>
        <v>19-1T0202-/MBFV-07-19</v>
      </c>
      <c r="K91" s="70" t="str">
        <f t="shared" ref="K91:K101" si="32">CONCATENATE(L91,"-",M88,"/","-",H91,"-",I91)</f>
        <v>19-MBFV-07/-1T0202-19</v>
      </c>
      <c r="L91" s="73">
        <v>19</v>
      </c>
      <c r="M91" s="88"/>
      <c r="N91" s="159"/>
      <c r="O91" s="74" t="s">
        <v>175</v>
      </c>
      <c r="P91" s="162"/>
    </row>
    <row r="92" spans="2:16" ht="30" customHeight="1" x14ac:dyDescent="0.45">
      <c r="B92" s="88"/>
      <c r="C92" s="89"/>
      <c r="D92" s="89"/>
      <c r="E92" s="67" t="s">
        <v>17</v>
      </c>
      <c r="F92" s="77">
        <v>2</v>
      </c>
      <c r="G92" s="77">
        <v>2</v>
      </c>
      <c r="H92" s="69" t="str">
        <f t="shared" si="17"/>
        <v>1T0202</v>
      </c>
      <c r="I92" s="65">
        <f>I91+1</f>
        <v>20</v>
      </c>
      <c r="J92" s="65" t="str">
        <f>CONCATENATE(I92,"-",H92,"-","/",M88,"-",L92)</f>
        <v>20-1T0202-/MBFV-07-22</v>
      </c>
      <c r="K92" s="70" t="str">
        <f t="shared" ref="K92:K102" si="33">CONCATENATE(L92,"-",M88,"/","-",H92,"-",I92)</f>
        <v>22-MBFV-07/-1T0202-20</v>
      </c>
      <c r="L92" s="73">
        <v>22</v>
      </c>
      <c r="M92" s="88"/>
      <c r="N92" s="159"/>
      <c r="O92" s="71" t="s">
        <v>31</v>
      </c>
      <c r="P92" s="162"/>
    </row>
    <row r="93" spans="2:16" ht="30" customHeight="1" x14ac:dyDescent="0.45">
      <c r="B93" s="88"/>
      <c r="C93" s="89"/>
      <c r="D93" s="89"/>
      <c r="E93" s="67" t="s">
        <v>18</v>
      </c>
      <c r="F93" s="77">
        <v>4</v>
      </c>
      <c r="G93" s="77">
        <v>4</v>
      </c>
      <c r="H93" s="69" t="str">
        <f t="shared" si="17"/>
        <v>1T0404</v>
      </c>
      <c r="I93" s="65">
        <v>1</v>
      </c>
      <c r="J93" s="65" t="str">
        <f>CONCATENATE(I93,"-",H93,"-","/",M88,"-",L93)</f>
        <v>1-1T0404-/MBFV-07-5</v>
      </c>
      <c r="K93" s="70" t="str">
        <f t="shared" ref="K93:K103" si="34">CONCATENATE(L93,"-",M88,"/","-",H93,"-",I93)</f>
        <v>5-MBFV-07/-1T0404-1</v>
      </c>
      <c r="L93" s="73">
        <v>5</v>
      </c>
      <c r="M93" s="88"/>
      <c r="N93" s="159"/>
      <c r="O93" s="71" t="s">
        <v>198</v>
      </c>
      <c r="P93" s="89" t="str" cm="1">
        <f t="array" ref="P93">UPPER(
   "In PLC side, " &amp;
   _xlfn.TEXTJOIN(", ", TRUE,
      H93:INDEX(H93:H97, MATCH("COMMON",O93:O97,0)-2) &amp;
      ": " &amp;
      (I93:INDEX(I93:I97, MATCH("COMMON",O93:O97,0)-2)+1)
   ) &amp;
   " &amp; " &amp;
   INDEX(H93:H97, MATCH("COMMON",O93:O97,0)-1) &amp; ": " &amp;
   INDEX(I93:I97, MATCH("COMMON",O93:O97,0)-1)+1 &amp;
   " are already looped"
)</f>
        <v>IN PLC SIDE, 1T0404: 2 &amp; 1T0404: 4 ARE ALREADY LOOPED</v>
      </c>
    </row>
    <row r="94" spans="2:16" ht="30" customHeight="1" x14ac:dyDescent="0.45">
      <c r="B94" s="88"/>
      <c r="C94" s="89"/>
      <c r="D94" s="89"/>
      <c r="E94" s="67" t="s">
        <v>19</v>
      </c>
      <c r="F94" s="77">
        <v>4</v>
      </c>
      <c r="G94" s="77">
        <v>4</v>
      </c>
      <c r="H94" s="69" t="str">
        <f t="shared" si="17"/>
        <v>1T0404</v>
      </c>
      <c r="I94" s="65">
        <f>I93+2</f>
        <v>3</v>
      </c>
      <c r="J94" s="65" t="str">
        <f>CONCATENATE(I94,"-",H94,"-","/",M88,"-",L94)</f>
        <v>3-1T0404-/MBFV-07-7</v>
      </c>
      <c r="K94" s="70" t="str">
        <f t="shared" ref="K94:K104" si="35">CONCATENATE(L94,"-",M88,"/","-",H94,"-",I94)</f>
        <v>7-MBFV-07/-1T0404-3</v>
      </c>
      <c r="L94" s="73">
        <v>7</v>
      </c>
      <c r="M94" s="88"/>
      <c r="N94" s="159"/>
      <c r="O94" s="71" t="s">
        <v>199</v>
      </c>
      <c r="P94" s="89"/>
    </row>
    <row r="95" spans="2:16" ht="30" customHeight="1" x14ac:dyDescent="0.45">
      <c r="B95" s="88"/>
      <c r="C95" s="89"/>
      <c r="D95" s="89"/>
      <c r="E95" s="67" t="s">
        <v>20</v>
      </c>
      <c r="F95" s="77">
        <v>4</v>
      </c>
      <c r="G95" s="77">
        <v>4</v>
      </c>
      <c r="H95" s="69" t="str">
        <f t="shared" si="17"/>
        <v>1T0404</v>
      </c>
      <c r="I95" s="65">
        <f>I94+1</f>
        <v>4</v>
      </c>
      <c r="J95" s="65" t="str">
        <f>CONCATENATE(I95,"-",H95,"-","/",M88,"-",L95)</f>
        <v>4-1T0404-/MBFV-07-8</v>
      </c>
      <c r="K95" s="70" t="str">
        <f t="shared" ref="K95:K105" si="36">CONCATENATE(L95,"-",M88,"/","-",H95,"-",I95)</f>
        <v>8-MBFV-07/-1T0404-4</v>
      </c>
      <c r="L95" s="73">
        <v>8</v>
      </c>
      <c r="M95" s="88"/>
      <c r="N95" s="159"/>
      <c r="O95" s="71" t="s">
        <v>31</v>
      </c>
      <c r="P95" s="89"/>
    </row>
    <row r="96" spans="2:16" ht="30" customHeight="1" x14ac:dyDescent="0.45">
      <c r="B96" s="88"/>
      <c r="C96" s="89"/>
      <c r="D96" s="89"/>
      <c r="E96" s="67" t="s">
        <v>21</v>
      </c>
      <c r="F96" s="77" t="s">
        <v>45</v>
      </c>
      <c r="G96" s="77" t="s">
        <v>45</v>
      </c>
      <c r="H96" s="69" t="s">
        <v>45</v>
      </c>
      <c r="I96" s="65" t="s">
        <v>45</v>
      </c>
      <c r="J96" s="65" t="s">
        <v>45</v>
      </c>
      <c r="K96" s="65" t="s">
        <v>45</v>
      </c>
      <c r="L96" s="73" t="s">
        <v>45</v>
      </c>
      <c r="M96" s="88"/>
      <c r="N96" s="159"/>
      <c r="O96" s="71" t="s">
        <v>34</v>
      </c>
      <c r="P96" s="89"/>
    </row>
    <row r="97" spans="2:16" ht="30" customHeight="1" x14ac:dyDescent="0.45">
      <c r="B97" s="88"/>
      <c r="C97" s="89"/>
      <c r="D97" s="89"/>
      <c r="E97" s="67" t="s">
        <v>30</v>
      </c>
      <c r="F97" s="77" t="s">
        <v>45</v>
      </c>
      <c r="G97" s="77" t="s">
        <v>45</v>
      </c>
      <c r="H97" s="69" t="s">
        <v>45</v>
      </c>
      <c r="I97" s="65" t="s">
        <v>45</v>
      </c>
      <c r="J97" s="65" t="s">
        <v>45</v>
      </c>
      <c r="K97" s="65" t="s">
        <v>45</v>
      </c>
      <c r="L97" s="73" t="s">
        <v>45</v>
      </c>
      <c r="M97" s="88"/>
      <c r="N97" s="159"/>
      <c r="O97" s="71" t="s">
        <v>34</v>
      </c>
      <c r="P97" s="89"/>
    </row>
    <row r="98" spans="2:16" ht="30" customHeight="1" x14ac:dyDescent="0.45">
      <c r="B98" s="88">
        <f t="shared" ref="B98" si="37">B88+1</f>
        <v>10</v>
      </c>
      <c r="C98" s="89" t="s">
        <v>158</v>
      </c>
      <c r="D98" s="89" t="s">
        <v>200</v>
      </c>
      <c r="E98" s="67" t="s">
        <v>13</v>
      </c>
      <c r="F98" s="77">
        <v>2</v>
      </c>
      <c r="G98" s="77">
        <v>2</v>
      </c>
      <c r="H98" s="69" t="str">
        <f t="shared" si="17"/>
        <v>1T0202</v>
      </c>
      <c r="I98" s="65">
        <f>I92+1</f>
        <v>21</v>
      </c>
      <c r="J98" s="65" t="str">
        <f t="shared" ref="J98" si="38">CONCATENATE(I98,"-",H98,"-","/",M98,"-",L98)</f>
        <v>21-1T0202-/MBFV-08-42</v>
      </c>
      <c r="K98" s="70" t="str">
        <f t="shared" si="12"/>
        <v>42-MBFV-08/-1T0202-21</v>
      </c>
      <c r="L98" s="65">
        <v>42</v>
      </c>
      <c r="M98" s="88" t="str">
        <f>C98</f>
        <v>MBFV-08</v>
      </c>
      <c r="N98" s="159" t="s">
        <v>183</v>
      </c>
      <c r="O98" s="74" t="s">
        <v>172</v>
      </c>
      <c r="P98" s="161" t="str" cm="1">
        <f t="array" ref="P98">UPPER(
   "In PLC side, " &amp;
   _xlfn.TEXTJOIN(", ", TRUE,
      H98:INDEX(H98:H109, MATCH("COMMON",O98:O109,0)-2) &amp;
      ": " &amp;
      (I98:INDEX(I98:I109, MATCH("COMMON",O98:O109,0)-2)+1)
   ) &amp;
   " &amp; " &amp;
   INDEX(H98:H109, MATCH("COMMON",O98:O109,0)-1) &amp; ": " &amp;
   INDEX(I98:I109, MATCH("COMMON",O98:O109,0)-1)+1 &amp;
   " are already looped"
)</f>
        <v>IN PLC SIDE, 1T0202: 22, 1T0202: 24, 1T0202: 26 &amp; 1T0203: 2 ARE ALREADY LOOPED</v>
      </c>
    </row>
    <row r="99" spans="2:16" ht="30" customHeight="1" x14ac:dyDescent="0.45">
      <c r="B99" s="88"/>
      <c r="C99" s="89"/>
      <c r="D99" s="89"/>
      <c r="E99" s="67" t="s">
        <v>14</v>
      </c>
      <c r="F99" s="77">
        <v>2</v>
      </c>
      <c r="G99" s="77">
        <v>2</v>
      </c>
      <c r="H99" s="69" t="str">
        <f t="shared" si="17"/>
        <v>1T0202</v>
      </c>
      <c r="I99" s="65">
        <f>I98+2</f>
        <v>23</v>
      </c>
      <c r="J99" s="65" t="str">
        <f t="shared" ref="J99" si="39">CONCATENATE(I99,"-",H99,"-","/",M98,"-",L99)</f>
        <v>23-1T0202-/MBFV-08-38</v>
      </c>
      <c r="K99" s="70" t="str">
        <f t="shared" si="30"/>
        <v>38-MBFV-08/-1T0202-23</v>
      </c>
      <c r="L99" s="73">
        <v>38</v>
      </c>
      <c r="M99" s="88"/>
      <c r="N99" s="159"/>
      <c r="O99" s="74" t="s">
        <v>173</v>
      </c>
      <c r="P99" s="162"/>
    </row>
    <row r="100" spans="2:16" ht="30" customHeight="1" x14ac:dyDescent="0.45">
      <c r="B100" s="88"/>
      <c r="C100" s="89"/>
      <c r="D100" s="89"/>
      <c r="E100" s="67" t="s">
        <v>15</v>
      </c>
      <c r="F100" s="77">
        <v>2</v>
      </c>
      <c r="G100" s="77">
        <v>2</v>
      </c>
      <c r="H100" s="69" t="str">
        <f t="shared" si="17"/>
        <v>1T0202</v>
      </c>
      <c r="I100" s="65">
        <f>I99+2</f>
        <v>25</v>
      </c>
      <c r="J100" s="65" t="str">
        <f t="shared" ref="J100" si="40">CONCATENATE(I100,"-",H100,"-","/",M98,"-",L100)</f>
        <v>25-1T0202-/MBFV-08-15</v>
      </c>
      <c r="K100" s="70" t="str">
        <f t="shared" si="31"/>
        <v>15-MBFV-08/-1T0202-25</v>
      </c>
      <c r="L100" s="73">
        <v>15</v>
      </c>
      <c r="M100" s="88"/>
      <c r="N100" s="159"/>
      <c r="O100" s="74" t="s">
        <v>174</v>
      </c>
      <c r="P100" s="162"/>
    </row>
    <row r="101" spans="2:16" ht="30" customHeight="1" x14ac:dyDescent="0.45">
      <c r="B101" s="88"/>
      <c r="C101" s="89"/>
      <c r="D101" s="89"/>
      <c r="E101" s="67" t="s">
        <v>16</v>
      </c>
      <c r="F101" s="77">
        <v>2</v>
      </c>
      <c r="G101" s="77">
        <v>3</v>
      </c>
      <c r="H101" s="69" t="str">
        <f t="shared" si="17"/>
        <v>1T0203</v>
      </c>
      <c r="I101" s="65">
        <v>1</v>
      </c>
      <c r="J101" s="65" t="str">
        <f t="shared" ref="J101" si="41">CONCATENATE(I101,"-",H101,"-","/",M98,"-",L101)</f>
        <v>1-1T0203-/MBFV-08-19</v>
      </c>
      <c r="K101" s="70" t="str">
        <f t="shared" si="32"/>
        <v>19-MBFV-08/-1T0203-1</v>
      </c>
      <c r="L101" s="73">
        <v>19</v>
      </c>
      <c r="M101" s="88"/>
      <c r="N101" s="159"/>
      <c r="O101" s="74" t="s">
        <v>175</v>
      </c>
      <c r="P101" s="162"/>
    </row>
    <row r="102" spans="2:16" ht="30" customHeight="1" x14ac:dyDescent="0.45">
      <c r="B102" s="88"/>
      <c r="C102" s="89"/>
      <c r="D102" s="89"/>
      <c r="E102" s="67" t="s">
        <v>17</v>
      </c>
      <c r="F102" s="77">
        <v>2</v>
      </c>
      <c r="G102" s="77">
        <v>3</v>
      </c>
      <c r="H102" s="69" t="str">
        <f t="shared" si="17"/>
        <v>1T0203</v>
      </c>
      <c r="I102" s="65">
        <f>I101+1</f>
        <v>2</v>
      </c>
      <c r="J102" s="65" t="str">
        <f t="shared" ref="J102" si="42">CONCATENATE(I102,"-",H102,"-","/",M98,"-",L102)</f>
        <v>2-1T0203-/MBFV-08-22</v>
      </c>
      <c r="K102" s="70" t="str">
        <f t="shared" si="33"/>
        <v>22-MBFV-08/-1T0203-2</v>
      </c>
      <c r="L102" s="73">
        <v>22</v>
      </c>
      <c r="M102" s="88"/>
      <c r="N102" s="159"/>
      <c r="O102" s="71" t="s">
        <v>31</v>
      </c>
      <c r="P102" s="162"/>
    </row>
    <row r="103" spans="2:16" ht="30" customHeight="1" x14ac:dyDescent="0.45">
      <c r="B103" s="88"/>
      <c r="C103" s="89"/>
      <c r="D103" s="89"/>
      <c r="E103" s="67" t="s">
        <v>18</v>
      </c>
      <c r="F103" s="77">
        <v>4</v>
      </c>
      <c r="G103" s="77">
        <v>4</v>
      </c>
      <c r="H103" s="69" t="str">
        <f t="shared" si="17"/>
        <v>1T0404</v>
      </c>
      <c r="I103" s="65">
        <v>5</v>
      </c>
      <c r="J103" s="65" t="str">
        <f t="shared" ref="J103" si="43">CONCATENATE(I103,"-",H103,"-","/",M98,"-",L103)</f>
        <v>5-1T0404-/MBFV-08-5</v>
      </c>
      <c r="K103" s="70" t="str">
        <f t="shared" si="34"/>
        <v>5-MBFV-08/-1T0404-5</v>
      </c>
      <c r="L103" s="73">
        <v>5</v>
      </c>
      <c r="M103" s="88"/>
      <c r="N103" s="159"/>
      <c r="O103" s="71" t="s">
        <v>198</v>
      </c>
      <c r="P103" s="89" t="str" cm="1">
        <f t="array" ref="P103">UPPER(
   "In PLC side, " &amp;
   _xlfn.TEXTJOIN(", ", TRUE,
      H103:INDEX(H103:H107, MATCH("COMMON",O103:O107,0)-2) &amp;
      ": " &amp;
      (I103:INDEX(I103:I107, MATCH("COMMON",O103:O107,0)-2)+1)
   ) &amp;
   " &amp; " &amp;
   INDEX(H103:H107, MATCH("COMMON",O103:O107,0)-1) &amp; ": " &amp;
   INDEX(I103:I107, MATCH("COMMON",O103:O107,0)-1)+1 &amp;
   " are already looped"
)</f>
        <v>IN PLC SIDE, 1T0404: 6 &amp; 1T0404: 8 ARE ALREADY LOOPED</v>
      </c>
    </row>
    <row r="104" spans="2:16" ht="30" customHeight="1" x14ac:dyDescent="0.45">
      <c r="B104" s="88"/>
      <c r="C104" s="89"/>
      <c r="D104" s="89"/>
      <c r="E104" s="67" t="s">
        <v>19</v>
      </c>
      <c r="F104" s="77">
        <v>4</v>
      </c>
      <c r="G104" s="77">
        <v>4</v>
      </c>
      <c r="H104" s="69" t="str">
        <f t="shared" si="17"/>
        <v>1T0404</v>
      </c>
      <c r="I104" s="65">
        <f>I103+2</f>
        <v>7</v>
      </c>
      <c r="J104" s="65" t="str">
        <f t="shared" ref="J104" si="44">CONCATENATE(I104,"-",H104,"-","/",M98,"-",L104)</f>
        <v>7-1T0404-/MBFV-08-7</v>
      </c>
      <c r="K104" s="70" t="str">
        <f t="shared" si="35"/>
        <v>7-MBFV-08/-1T0404-7</v>
      </c>
      <c r="L104" s="73">
        <v>7</v>
      </c>
      <c r="M104" s="88"/>
      <c r="N104" s="159"/>
      <c r="O104" s="71" t="s">
        <v>199</v>
      </c>
      <c r="P104" s="89"/>
    </row>
    <row r="105" spans="2:16" ht="30" customHeight="1" x14ac:dyDescent="0.45">
      <c r="B105" s="88"/>
      <c r="C105" s="89"/>
      <c r="D105" s="89"/>
      <c r="E105" s="67" t="s">
        <v>20</v>
      </c>
      <c r="F105" s="77">
        <v>4</v>
      </c>
      <c r="G105" s="77">
        <v>4</v>
      </c>
      <c r="H105" s="69" t="str">
        <f t="shared" si="17"/>
        <v>1T0404</v>
      </c>
      <c r="I105" s="65">
        <f>I104+1</f>
        <v>8</v>
      </c>
      <c r="J105" s="65" t="str">
        <f t="shared" ref="J105" si="45">CONCATENATE(I105,"-",H105,"-","/",M98,"-",L105)</f>
        <v>8-1T0404-/MBFV-08-8</v>
      </c>
      <c r="K105" s="70" t="str">
        <f t="shared" si="36"/>
        <v>8-MBFV-08/-1T0404-8</v>
      </c>
      <c r="L105" s="73">
        <v>8</v>
      </c>
      <c r="M105" s="88"/>
      <c r="N105" s="159"/>
      <c r="O105" s="71" t="s">
        <v>31</v>
      </c>
      <c r="P105" s="89"/>
    </row>
    <row r="106" spans="2:16" ht="30" customHeight="1" x14ac:dyDescent="0.45">
      <c r="B106" s="88"/>
      <c r="C106" s="89"/>
      <c r="D106" s="89"/>
      <c r="E106" s="67" t="s">
        <v>21</v>
      </c>
      <c r="F106" s="77" t="s">
        <v>45</v>
      </c>
      <c r="G106" s="77" t="s">
        <v>45</v>
      </c>
      <c r="H106" s="69" t="s">
        <v>45</v>
      </c>
      <c r="I106" s="65" t="s">
        <v>45</v>
      </c>
      <c r="J106" s="65" t="s">
        <v>45</v>
      </c>
      <c r="K106" s="65" t="s">
        <v>45</v>
      </c>
      <c r="L106" s="73" t="s">
        <v>45</v>
      </c>
      <c r="M106" s="88"/>
      <c r="N106" s="159"/>
      <c r="O106" s="71" t="s">
        <v>34</v>
      </c>
      <c r="P106" s="89"/>
    </row>
    <row r="107" spans="2:16" ht="30" customHeight="1" x14ac:dyDescent="0.45">
      <c r="B107" s="88"/>
      <c r="C107" s="89"/>
      <c r="D107" s="89"/>
      <c r="E107" s="67" t="s">
        <v>30</v>
      </c>
      <c r="F107" s="77" t="s">
        <v>45</v>
      </c>
      <c r="G107" s="77" t="s">
        <v>45</v>
      </c>
      <c r="H107" s="69" t="s">
        <v>45</v>
      </c>
      <c r="I107" s="65" t="s">
        <v>45</v>
      </c>
      <c r="J107" s="65" t="s">
        <v>45</v>
      </c>
      <c r="K107" s="65" t="s">
        <v>45</v>
      </c>
      <c r="L107" s="73" t="s">
        <v>45</v>
      </c>
      <c r="M107" s="88"/>
      <c r="N107" s="159"/>
      <c r="O107" s="71" t="s">
        <v>34</v>
      </c>
      <c r="P107" s="89"/>
    </row>
    <row r="108" spans="2:16" ht="30" customHeight="1" x14ac:dyDescent="0.45">
      <c r="B108" s="170">
        <f>B98+1</f>
        <v>11</v>
      </c>
      <c r="C108" s="89" t="s">
        <v>159</v>
      </c>
      <c r="D108" s="89" t="s">
        <v>200</v>
      </c>
      <c r="E108" s="67" t="s">
        <v>13</v>
      </c>
      <c r="F108" s="77">
        <v>2</v>
      </c>
      <c r="G108" s="77">
        <v>3</v>
      </c>
      <c r="H108" s="69" t="str">
        <f t="shared" si="17"/>
        <v>1T0203</v>
      </c>
      <c r="I108" s="65">
        <f>I102+1</f>
        <v>3</v>
      </c>
      <c r="J108" s="65" t="str">
        <f>CONCATENATE(I108,"-",H108,"-","/",$M$108,"-",L108)</f>
        <v>3-1T0203-/MBFV-09-42</v>
      </c>
      <c r="K108" s="65" t="str">
        <f>CONCATENATE(L108,"-",$M$108,"/","-",H108,"-",I108)</f>
        <v>42-MBFV-09/-1T0203-3</v>
      </c>
      <c r="L108" s="65">
        <v>42</v>
      </c>
      <c r="M108" s="170" t="str">
        <f>C108</f>
        <v>MBFV-09</v>
      </c>
      <c r="N108" s="159" t="s">
        <v>184</v>
      </c>
      <c r="O108" s="74" t="s">
        <v>172</v>
      </c>
      <c r="P108" s="89" t="str" cm="1">
        <f t="array" ref="P108">UPPER(
   "In PLC side, " &amp;
   _xlfn.TEXTJOIN(", ", TRUE,
      H108:INDEX(H108:H119, MATCH("COMMON",O108:O119,0)-2) &amp;
      ": " &amp;
      (I108:INDEX(I108:I119, MATCH("COMMON",O108:O119,0)-2)+1)
   ) &amp;
   " &amp; " &amp;
   INDEX(H108:H119, MATCH("COMMON",O108:O119,0)-1) &amp; ": " &amp;
   INDEX(I108:I119, MATCH("COMMON",O108:O119,0)-1)+1 &amp;
   " are already looped"
)</f>
        <v>IN PLC SIDE, 1T0203: 4, 1T0203: 6, 1T0203: 8 &amp; 1T0203: 10 ARE ALREADY LOOPED</v>
      </c>
    </row>
    <row r="109" spans="2:16" ht="30" customHeight="1" x14ac:dyDescent="0.45">
      <c r="B109" s="171"/>
      <c r="C109" s="89"/>
      <c r="D109" s="89"/>
      <c r="E109" s="67" t="s">
        <v>14</v>
      </c>
      <c r="F109" s="77">
        <v>2</v>
      </c>
      <c r="G109" s="77">
        <v>3</v>
      </c>
      <c r="H109" s="69" t="str">
        <f t="shared" si="17"/>
        <v>1T0203</v>
      </c>
      <c r="I109" s="65">
        <f>I108+2</f>
        <v>5</v>
      </c>
      <c r="J109" s="65" t="str">
        <f t="shared" ref="J109:J115" si="46">CONCATENATE(I109,"-",H109,"-","/",$M$108,"-",L109)</f>
        <v>5-1T0203-/MBFV-09-38</v>
      </c>
      <c r="K109" s="65" t="str">
        <f t="shared" ref="K109:K115" si="47">CONCATENATE(L109,"-",$M$108,"/","-",H109,"-",I109)</f>
        <v>38-MBFV-09/-1T0203-5</v>
      </c>
      <c r="L109" s="73">
        <v>38</v>
      </c>
      <c r="M109" s="171"/>
      <c r="N109" s="159"/>
      <c r="O109" s="74" t="s">
        <v>173</v>
      </c>
      <c r="P109" s="89"/>
    </row>
    <row r="110" spans="2:16" ht="30" customHeight="1" x14ac:dyDescent="0.45">
      <c r="B110" s="171"/>
      <c r="C110" s="89"/>
      <c r="D110" s="89"/>
      <c r="E110" s="67" t="s">
        <v>15</v>
      </c>
      <c r="F110" s="77">
        <v>2</v>
      </c>
      <c r="G110" s="77">
        <v>3</v>
      </c>
      <c r="H110" s="69" t="str">
        <f t="shared" si="17"/>
        <v>1T0203</v>
      </c>
      <c r="I110" s="65">
        <f>I109+2</f>
        <v>7</v>
      </c>
      <c r="J110" s="65" t="str">
        <f t="shared" si="46"/>
        <v>7-1T0203-/MBFV-09-15</v>
      </c>
      <c r="K110" s="65" t="str">
        <f t="shared" si="47"/>
        <v>15-MBFV-09/-1T0203-7</v>
      </c>
      <c r="L110" s="73">
        <v>15</v>
      </c>
      <c r="M110" s="171"/>
      <c r="N110" s="159"/>
      <c r="O110" s="74" t="s">
        <v>174</v>
      </c>
      <c r="P110" s="89"/>
    </row>
    <row r="111" spans="2:16" ht="30" customHeight="1" x14ac:dyDescent="0.45">
      <c r="B111" s="171"/>
      <c r="C111" s="89"/>
      <c r="D111" s="89"/>
      <c r="E111" s="67" t="s">
        <v>16</v>
      </c>
      <c r="F111" s="77">
        <v>2</v>
      </c>
      <c r="G111" s="77">
        <v>3</v>
      </c>
      <c r="H111" s="69" t="str">
        <f t="shared" si="17"/>
        <v>1T0203</v>
      </c>
      <c r="I111" s="65">
        <f>I110+2</f>
        <v>9</v>
      </c>
      <c r="J111" s="65" t="str">
        <f t="shared" si="46"/>
        <v>9-1T0203-/MBFV-09-19</v>
      </c>
      <c r="K111" s="65" t="str">
        <f t="shared" si="47"/>
        <v>19-MBFV-09/-1T0203-9</v>
      </c>
      <c r="L111" s="73">
        <v>19</v>
      </c>
      <c r="M111" s="171"/>
      <c r="N111" s="159"/>
      <c r="O111" s="74" t="s">
        <v>175</v>
      </c>
      <c r="P111" s="89"/>
    </row>
    <row r="112" spans="2:16" ht="30" customHeight="1" x14ac:dyDescent="0.45">
      <c r="B112" s="171"/>
      <c r="C112" s="89"/>
      <c r="D112" s="89"/>
      <c r="E112" s="67" t="s">
        <v>17</v>
      </c>
      <c r="F112" s="77">
        <v>2</v>
      </c>
      <c r="G112" s="77">
        <v>3</v>
      </c>
      <c r="H112" s="69" t="str">
        <f t="shared" si="17"/>
        <v>1T0203</v>
      </c>
      <c r="I112" s="65">
        <f>I111+1</f>
        <v>10</v>
      </c>
      <c r="J112" s="65" t="str">
        <f t="shared" si="46"/>
        <v>10-1T0203-/MBFV-09-22</v>
      </c>
      <c r="K112" s="65" t="str">
        <f t="shared" si="47"/>
        <v>22-MBFV-09/-1T0203-10</v>
      </c>
      <c r="L112" s="73">
        <v>22</v>
      </c>
      <c r="M112" s="171"/>
      <c r="N112" s="159"/>
      <c r="O112" s="71" t="s">
        <v>31</v>
      </c>
      <c r="P112" s="89"/>
    </row>
    <row r="113" spans="2:16" ht="30" customHeight="1" x14ac:dyDescent="0.45">
      <c r="B113" s="171"/>
      <c r="C113" s="89"/>
      <c r="D113" s="89"/>
      <c r="E113" s="67" t="s">
        <v>18</v>
      </c>
      <c r="F113" s="77">
        <v>4</v>
      </c>
      <c r="G113" s="77">
        <v>4</v>
      </c>
      <c r="H113" s="69" t="str">
        <f t="shared" si="17"/>
        <v>1T0404</v>
      </c>
      <c r="I113" s="65">
        <v>9</v>
      </c>
      <c r="J113" s="65" t="str">
        <f t="shared" si="46"/>
        <v>9-1T0404-/MBFV-09-5</v>
      </c>
      <c r="K113" s="65" t="str">
        <f t="shared" si="47"/>
        <v>5-MBFV-09/-1T0404-9</v>
      </c>
      <c r="L113" s="73">
        <v>5</v>
      </c>
      <c r="M113" s="171"/>
      <c r="N113" s="159"/>
      <c r="O113" s="71" t="s">
        <v>198</v>
      </c>
      <c r="P113" s="89" t="str" cm="1">
        <f t="array" ref="P113">UPPER(
   "In PLC side, " &amp;
   _xlfn.TEXTJOIN(", ", TRUE,
      H113:INDEX(H113:H117, MATCH("COMMON",O113:O117,0)-2) &amp;
      ": " &amp;
      (I113:INDEX(I113:I117, MATCH("COMMON",O113:O117,0)-2)+1)
   ) &amp;
   " &amp; " &amp;
   INDEX(H113:H117, MATCH("COMMON",O113:O117,0)-1) &amp; ": " &amp;
   INDEX(I113:I117, MATCH("COMMON",O113:O117,0)-1)+1 &amp;
   " are already looped"
)</f>
        <v>IN PLC SIDE, 1T0404: 10 &amp; 1T0404: 12 ARE ALREADY LOOPED</v>
      </c>
    </row>
    <row r="114" spans="2:16" ht="30" customHeight="1" x14ac:dyDescent="0.45">
      <c r="B114" s="171"/>
      <c r="C114" s="89"/>
      <c r="D114" s="89"/>
      <c r="E114" s="67" t="s">
        <v>19</v>
      </c>
      <c r="F114" s="77">
        <v>4</v>
      </c>
      <c r="G114" s="77">
        <v>4</v>
      </c>
      <c r="H114" s="69" t="str">
        <f t="shared" si="17"/>
        <v>1T0404</v>
      </c>
      <c r="I114" s="65">
        <f>I113+2</f>
        <v>11</v>
      </c>
      <c r="J114" s="65" t="str">
        <f t="shared" si="46"/>
        <v>11-1T0404-/MBFV-09-7</v>
      </c>
      <c r="K114" s="65" t="str">
        <f t="shared" si="47"/>
        <v>7-MBFV-09/-1T0404-11</v>
      </c>
      <c r="L114" s="73">
        <v>7</v>
      </c>
      <c r="M114" s="171"/>
      <c r="N114" s="159"/>
      <c r="O114" s="71" t="s">
        <v>199</v>
      </c>
      <c r="P114" s="89"/>
    </row>
    <row r="115" spans="2:16" ht="30" customHeight="1" x14ac:dyDescent="0.45">
      <c r="B115" s="171"/>
      <c r="C115" s="89"/>
      <c r="D115" s="89"/>
      <c r="E115" s="67" t="s">
        <v>20</v>
      </c>
      <c r="F115" s="77">
        <v>4</v>
      </c>
      <c r="G115" s="77">
        <v>4</v>
      </c>
      <c r="H115" s="69" t="str">
        <f t="shared" si="17"/>
        <v>1T0404</v>
      </c>
      <c r="I115" s="65">
        <f>I114+1</f>
        <v>12</v>
      </c>
      <c r="J115" s="65" t="str">
        <f t="shared" si="46"/>
        <v>12-1T0404-/MBFV-09-8</v>
      </c>
      <c r="K115" s="65" t="str">
        <f t="shared" si="47"/>
        <v>8-MBFV-09/-1T0404-12</v>
      </c>
      <c r="L115" s="73">
        <v>8</v>
      </c>
      <c r="M115" s="171"/>
      <c r="N115" s="159"/>
      <c r="O115" s="71" t="s">
        <v>31</v>
      </c>
      <c r="P115" s="89"/>
    </row>
    <row r="116" spans="2:16" ht="30" customHeight="1" x14ac:dyDescent="0.45">
      <c r="B116" s="171"/>
      <c r="C116" s="89"/>
      <c r="D116" s="89"/>
      <c r="E116" s="67" t="s">
        <v>21</v>
      </c>
      <c r="F116" s="77" t="s">
        <v>45</v>
      </c>
      <c r="G116" s="77" t="s">
        <v>45</v>
      </c>
      <c r="H116" s="69" t="s">
        <v>45</v>
      </c>
      <c r="I116" s="65" t="s">
        <v>45</v>
      </c>
      <c r="J116" s="65" t="s">
        <v>45</v>
      </c>
      <c r="K116" s="65" t="s">
        <v>45</v>
      </c>
      <c r="L116" s="73" t="s">
        <v>45</v>
      </c>
      <c r="M116" s="171"/>
      <c r="N116" s="159"/>
      <c r="O116" s="71" t="s">
        <v>34</v>
      </c>
      <c r="P116" s="89"/>
    </row>
    <row r="117" spans="2:16" ht="30" customHeight="1" x14ac:dyDescent="0.45">
      <c r="B117" s="172"/>
      <c r="C117" s="89"/>
      <c r="D117" s="89"/>
      <c r="E117" s="67" t="s">
        <v>30</v>
      </c>
      <c r="F117" s="77" t="s">
        <v>45</v>
      </c>
      <c r="G117" s="77" t="s">
        <v>45</v>
      </c>
      <c r="H117" s="69" t="s">
        <v>45</v>
      </c>
      <c r="I117" s="65" t="s">
        <v>45</v>
      </c>
      <c r="J117" s="65" t="s">
        <v>45</v>
      </c>
      <c r="K117" s="65" t="s">
        <v>45</v>
      </c>
      <c r="L117" s="73" t="s">
        <v>45</v>
      </c>
      <c r="M117" s="172"/>
      <c r="N117" s="159"/>
      <c r="O117" s="71" t="s">
        <v>34</v>
      </c>
      <c r="P117" s="89"/>
    </row>
    <row r="118" spans="2:16" ht="30" customHeight="1" x14ac:dyDescent="0.45">
      <c r="B118" s="170">
        <f>B108+1</f>
        <v>12</v>
      </c>
      <c r="C118" s="89" t="s">
        <v>160</v>
      </c>
      <c r="D118" s="89" t="s">
        <v>200</v>
      </c>
      <c r="E118" s="67" t="s">
        <v>13</v>
      </c>
      <c r="F118" s="77">
        <v>2</v>
      </c>
      <c r="G118" s="77">
        <v>3</v>
      </c>
      <c r="H118" s="69" t="str">
        <f t="shared" si="17"/>
        <v>1T0203</v>
      </c>
      <c r="I118" s="65">
        <f>I112+1</f>
        <v>11</v>
      </c>
      <c r="J118" s="65" t="str">
        <f>CONCATENATE(I118,"-",H118,"-","/",$M$118,"-",L118)</f>
        <v>11-1T0203-/MBFV-10-42</v>
      </c>
      <c r="K118" s="65" t="str">
        <f>CONCATENATE(L118,"-",$M$118,"/","-",H118,"-",I118)</f>
        <v>42-MBFV-10/-1T0203-11</v>
      </c>
      <c r="L118" s="65">
        <v>42</v>
      </c>
      <c r="M118" s="170" t="str">
        <f>C118</f>
        <v>MBFV-10</v>
      </c>
      <c r="N118" s="159" t="s">
        <v>185</v>
      </c>
      <c r="O118" s="74" t="s">
        <v>172</v>
      </c>
      <c r="P118" s="89" t="str" cm="1">
        <f t="array" ref="P118">UPPER(
   "In PLC side, " &amp;
   _xlfn.TEXTJOIN(", ", TRUE,
      H118:INDEX(H118:H129, MATCH("COMMON",O118:O129,0)-2) &amp;
      ": " &amp;
      (I118:INDEX(I118:I129, MATCH("COMMON",O118:O129,0)-2)+1)
   ) &amp;
   " &amp; " &amp;
   INDEX(H118:H129, MATCH("COMMON",O118:O129,0)-1) &amp; ": " &amp;
   INDEX(I118:I129, MATCH("COMMON",O118:O129,0)-1)+1 &amp;
   " are already looped"
)</f>
        <v>IN PLC SIDE, 1T0203: 12, 1T0203: 14, 1T0203: 16 &amp; 1T0203: 18 ARE ALREADY LOOPED</v>
      </c>
    </row>
    <row r="119" spans="2:16" ht="30" customHeight="1" x14ac:dyDescent="0.45">
      <c r="B119" s="171"/>
      <c r="C119" s="89"/>
      <c r="D119" s="89"/>
      <c r="E119" s="67" t="s">
        <v>14</v>
      </c>
      <c r="F119" s="77">
        <v>2</v>
      </c>
      <c r="G119" s="77">
        <v>3</v>
      </c>
      <c r="H119" s="69" t="str">
        <f t="shared" si="17"/>
        <v>1T0203</v>
      </c>
      <c r="I119" s="65">
        <f>I118+2</f>
        <v>13</v>
      </c>
      <c r="J119" s="65" t="str">
        <f t="shared" ref="J119:J125" si="48">CONCATENATE(I119,"-",H119,"-","/",$M$118,"-",L119)</f>
        <v>13-1T0203-/MBFV-10-38</v>
      </c>
      <c r="K119" s="65" t="str">
        <f t="shared" ref="K119:K125" si="49">CONCATENATE(L119,"-",$M$118,"/","-",H119,"-",I119)</f>
        <v>38-MBFV-10/-1T0203-13</v>
      </c>
      <c r="L119" s="73">
        <v>38</v>
      </c>
      <c r="M119" s="171"/>
      <c r="N119" s="159"/>
      <c r="O119" s="74" t="s">
        <v>173</v>
      </c>
      <c r="P119" s="89"/>
    </row>
    <row r="120" spans="2:16" ht="30" customHeight="1" x14ac:dyDescent="0.45">
      <c r="B120" s="171"/>
      <c r="C120" s="89"/>
      <c r="D120" s="89"/>
      <c r="E120" s="67" t="s">
        <v>15</v>
      </c>
      <c r="F120" s="77">
        <v>2</v>
      </c>
      <c r="G120" s="77">
        <v>3</v>
      </c>
      <c r="H120" s="69" t="str">
        <f t="shared" si="17"/>
        <v>1T0203</v>
      </c>
      <c r="I120" s="65">
        <f>I119+2</f>
        <v>15</v>
      </c>
      <c r="J120" s="65" t="str">
        <f t="shared" si="48"/>
        <v>15-1T0203-/MBFV-10-15</v>
      </c>
      <c r="K120" s="65" t="str">
        <f t="shared" si="49"/>
        <v>15-MBFV-10/-1T0203-15</v>
      </c>
      <c r="L120" s="73">
        <v>15</v>
      </c>
      <c r="M120" s="171"/>
      <c r="N120" s="159"/>
      <c r="O120" s="74" t="s">
        <v>174</v>
      </c>
      <c r="P120" s="89"/>
    </row>
    <row r="121" spans="2:16" ht="30" customHeight="1" x14ac:dyDescent="0.45">
      <c r="B121" s="171"/>
      <c r="C121" s="89"/>
      <c r="D121" s="89"/>
      <c r="E121" s="67" t="s">
        <v>16</v>
      </c>
      <c r="F121" s="77">
        <v>2</v>
      </c>
      <c r="G121" s="77">
        <v>3</v>
      </c>
      <c r="H121" s="69" t="str">
        <f t="shared" si="17"/>
        <v>1T0203</v>
      </c>
      <c r="I121" s="65">
        <f>I120+2</f>
        <v>17</v>
      </c>
      <c r="J121" s="65" t="str">
        <f t="shared" si="48"/>
        <v>17-1T0203-/MBFV-10-19</v>
      </c>
      <c r="K121" s="65" t="str">
        <f t="shared" si="49"/>
        <v>19-MBFV-10/-1T0203-17</v>
      </c>
      <c r="L121" s="73">
        <v>19</v>
      </c>
      <c r="M121" s="171"/>
      <c r="N121" s="159"/>
      <c r="O121" s="74" t="s">
        <v>175</v>
      </c>
      <c r="P121" s="89"/>
    </row>
    <row r="122" spans="2:16" ht="30" customHeight="1" x14ac:dyDescent="0.45">
      <c r="B122" s="171"/>
      <c r="C122" s="89"/>
      <c r="D122" s="89"/>
      <c r="E122" s="67" t="s">
        <v>17</v>
      </c>
      <c r="F122" s="77">
        <v>2</v>
      </c>
      <c r="G122" s="77">
        <v>3</v>
      </c>
      <c r="H122" s="69" t="str">
        <f t="shared" si="17"/>
        <v>1T0203</v>
      </c>
      <c r="I122" s="65">
        <f>I121+1</f>
        <v>18</v>
      </c>
      <c r="J122" s="65" t="str">
        <f t="shared" si="48"/>
        <v>18-1T0203-/MBFV-10-22</v>
      </c>
      <c r="K122" s="65" t="str">
        <f t="shared" si="49"/>
        <v>22-MBFV-10/-1T0203-18</v>
      </c>
      <c r="L122" s="73">
        <v>22</v>
      </c>
      <c r="M122" s="171"/>
      <c r="N122" s="159"/>
      <c r="O122" s="71" t="s">
        <v>31</v>
      </c>
      <c r="P122" s="89"/>
    </row>
    <row r="123" spans="2:16" ht="30" customHeight="1" x14ac:dyDescent="0.45">
      <c r="B123" s="171"/>
      <c r="C123" s="89"/>
      <c r="D123" s="89"/>
      <c r="E123" s="67" t="s">
        <v>18</v>
      </c>
      <c r="F123" s="77">
        <v>4</v>
      </c>
      <c r="G123" s="77">
        <v>4</v>
      </c>
      <c r="H123" s="69" t="str">
        <f t="shared" si="17"/>
        <v>1T0404</v>
      </c>
      <c r="I123" s="65">
        <v>13</v>
      </c>
      <c r="J123" s="65" t="str">
        <f t="shared" si="48"/>
        <v>13-1T0404-/MBFV-10-5</v>
      </c>
      <c r="K123" s="65" t="str">
        <f t="shared" si="49"/>
        <v>5-MBFV-10/-1T0404-13</v>
      </c>
      <c r="L123" s="73">
        <v>5</v>
      </c>
      <c r="M123" s="171"/>
      <c r="N123" s="159"/>
      <c r="O123" s="71" t="s">
        <v>198</v>
      </c>
      <c r="P123" s="89" t="str" cm="1">
        <f t="array" ref="P123">UPPER(
   "In PLC side, " &amp;
   _xlfn.TEXTJOIN(", ", TRUE,
      H123:INDEX(H123:H127, MATCH("COMMON",O123:O127,0)-2) &amp;
      ": " &amp;
      (I123:INDEX(I123:I127, MATCH("COMMON",O123:O127,0)-2)+1)
   ) &amp;
   " &amp; " &amp;
   INDEX(H123:H127, MATCH("COMMON",O123:O127,0)-1) &amp; ": " &amp;
   INDEX(I123:I127, MATCH("COMMON",O123:O127,0)-1)+1 &amp;
   " are already looped"
)</f>
        <v>IN PLC SIDE, 1T0404: 14 &amp; 1T0404: 16 ARE ALREADY LOOPED</v>
      </c>
    </row>
    <row r="124" spans="2:16" ht="30" customHeight="1" x14ac:dyDescent="0.45">
      <c r="B124" s="171"/>
      <c r="C124" s="89"/>
      <c r="D124" s="89"/>
      <c r="E124" s="67" t="s">
        <v>19</v>
      </c>
      <c r="F124" s="77">
        <v>4</v>
      </c>
      <c r="G124" s="77">
        <v>4</v>
      </c>
      <c r="H124" s="69" t="str">
        <f t="shared" si="17"/>
        <v>1T0404</v>
      </c>
      <c r="I124" s="65">
        <f>I123+2</f>
        <v>15</v>
      </c>
      <c r="J124" s="65" t="str">
        <f t="shared" si="48"/>
        <v>15-1T0404-/MBFV-10-7</v>
      </c>
      <c r="K124" s="65" t="str">
        <f t="shared" si="49"/>
        <v>7-MBFV-10/-1T0404-15</v>
      </c>
      <c r="L124" s="73">
        <v>7</v>
      </c>
      <c r="M124" s="171"/>
      <c r="N124" s="159"/>
      <c r="O124" s="71" t="s">
        <v>199</v>
      </c>
      <c r="P124" s="89"/>
    </row>
    <row r="125" spans="2:16" ht="30" customHeight="1" x14ac:dyDescent="0.45">
      <c r="B125" s="171"/>
      <c r="C125" s="89"/>
      <c r="D125" s="89"/>
      <c r="E125" s="67" t="s">
        <v>20</v>
      </c>
      <c r="F125" s="77">
        <v>4</v>
      </c>
      <c r="G125" s="77">
        <v>4</v>
      </c>
      <c r="H125" s="69" t="str">
        <f t="shared" si="17"/>
        <v>1T0404</v>
      </c>
      <c r="I125" s="65">
        <f>I124+1</f>
        <v>16</v>
      </c>
      <c r="J125" s="65" t="str">
        <f t="shared" si="48"/>
        <v>16-1T0404-/MBFV-10-8</v>
      </c>
      <c r="K125" s="65" t="str">
        <f t="shared" si="49"/>
        <v>8-MBFV-10/-1T0404-16</v>
      </c>
      <c r="L125" s="73">
        <v>8</v>
      </c>
      <c r="M125" s="171"/>
      <c r="N125" s="159"/>
      <c r="O125" s="71" t="s">
        <v>31</v>
      </c>
      <c r="P125" s="89"/>
    </row>
    <row r="126" spans="2:16" ht="30" customHeight="1" x14ac:dyDescent="0.45">
      <c r="B126" s="171"/>
      <c r="C126" s="89"/>
      <c r="D126" s="89"/>
      <c r="E126" s="67" t="s">
        <v>21</v>
      </c>
      <c r="F126" s="77" t="s">
        <v>45</v>
      </c>
      <c r="G126" s="77" t="s">
        <v>45</v>
      </c>
      <c r="H126" s="69" t="s">
        <v>45</v>
      </c>
      <c r="I126" s="65" t="s">
        <v>45</v>
      </c>
      <c r="J126" s="65" t="s">
        <v>45</v>
      </c>
      <c r="K126" s="65" t="s">
        <v>45</v>
      </c>
      <c r="L126" s="73" t="s">
        <v>45</v>
      </c>
      <c r="M126" s="171"/>
      <c r="N126" s="159"/>
      <c r="O126" s="71" t="s">
        <v>34</v>
      </c>
      <c r="P126" s="89"/>
    </row>
    <row r="127" spans="2:16" ht="30" customHeight="1" x14ac:dyDescent="0.45">
      <c r="B127" s="172"/>
      <c r="C127" s="89"/>
      <c r="D127" s="89"/>
      <c r="E127" s="67" t="s">
        <v>30</v>
      </c>
      <c r="F127" s="77" t="s">
        <v>45</v>
      </c>
      <c r="G127" s="77" t="s">
        <v>45</v>
      </c>
      <c r="H127" s="69" t="s">
        <v>45</v>
      </c>
      <c r="I127" s="65" t="s">
        <v>45</v>
      </c>
      <c r="J127" s="65" t="s">
        <v>45</v>
      </c>
      <c r="K127" s="65" t="s">
        <v>45</v>
      </c>
      <c r="L127" s="73" t="s">
        <v>45</v>
      </c>
      <c r="M127" s="172"/>
      <c r="N127" s="159"/>
      <c r="O127" s="71" t="s">
        <v>34</v>
      </c>
      <c r="P127" s="89"/>
    </row>
    <row r="128" spans="2:16" ht="30" customHeight="1" x14ac:dyDescent="0.45">
      <c r="B128" s="170">
        <f>B118+1</f>
        <v>13</v>
      </c>
      <c r="C128" s="89" t="s">
        <v>161</v>
      </c>
      <c r="D128" s="89" t="s">
        <v>200</v>
      </c>
      <c r="E128" s="67" t="s">
        <v>13</v>
      </c>
      <c r="F128" s="77">
        <v>2</v>
      </c>
      <c r="G128" s="77">
        <v>3</v>
      </c>
      <c r="H128" s="69" t="str">
        <f t="shared" si="17"/>
        <v>1T0203</v>
      </c>
      <c r="I128" s="65">
        <f>I122+1</f>
        <v>19</v>
      </c>
      <c r="J128" s="65" t="str">
        <f>CONCATENATE(I128,"-",H128,"-","/",$M$128,"-",L128)</f>
        <v>19-1T0203-/MBFV-11-42</v>
      </c>
      <c r="K128" s="65" t="str">
        <f>CONCATENATE(L128,"-",$M$128,"/","-",H128,"-",I128)</f>
        <v>42-MBFV-11/-1T0203-19</v>
      </c>
      <c r="L128" s="65">
        <v>42</v>
      </c>
      <c r="M128" s="170" t="str">
        <f>C128</f>
        <v>MBFV-11</v>
      </c>
      <c r="N128" s="174" t="s">
        <v>186</v>
      </c>
      <c r="O128" s="74" t="s">
        <v>172</v>
      </c>
      <c r="P128" s="89" t="str" cm="1">
        <f t="array" ref="P128">UPPER(
   "In PLC side, " &amp;
   _xlfn.TEXTJOIN(", ", TRUE,
      H128:INDEX(H128:H139, MATCH("COMMON",O128:O139,0)-2) &amp;
      ": " &amp;
      (I128:INDEX(I128:I139, MATCH("COMMON",O128:O139,0)-2)+1)
   ) &amp;
   " &amp; " &amp;
   INDEX(H128:H139, MATCH("COMMON",O128:O139,0)-1) &amp; ": " &amp;
   INDEX(I128:I139, MATCH("COMMON",O128:O139,0)-1)+1 &amp;
   " are already looped"
)</f>
        <v>IN PLC SIDE, 1T0203: 20, 1T0203: 22, 1T0203: 24 &amp; 1T0203: 26 ARE ALREADY LOOPED</v>
      </c>
    </row>
    <row r="129" spans="2:16" ht="30" customHeight="1" x14ac:dyDescent="0.45">
      <c r="B129" s="171"/>
      <c r="C129" s="89"/>
      <c r="D129" s="89"/>
      <c r="E129" s="67" t="s">
        <v>14</v>
      </c>
      <c r="F129" s="77">
        <v>2</v>
      </c>
      <c r="G129" s="77">
        <v>3</v>
      </c>
      <c r="H129" s="69" t="str">
        <f t="shared" si="17"/>
        <v>1T0203</v>
      </c>
      <c r="I129" s="65">
        <f>I128+2</f>
        <v>21</v>
      </c>
      <c r="J129" s="65" t="str">
        <f t="shared" ref="J129:J135" si="50">CONCATENATE(I129,"-",H129,"-","/",$M$128,"-",L129)</f>
        <v>21-1T0203-/MBFV-11-38</v>
      </c>
      <c r="K129" s="65" t="str">
        <f t="shared" ref="K129:K135" si="51">CONCATENATE(L129,"-",$M$128,"/","-",H129,"-",I129)</f>
        <v>38-MBFV-11/-1T0203-21</v>
      </c>
      <c r="L129" s="73">
        <v>38</v>
      </c>
      <c r="M129" s="171"/>
      <c r="N129" s="175"/>
      <c r="O129" s="74" t="s">
        <v>173</v>
      </c>
      <c r="P129" s="89"/>
    </row>
    <row r="130" spans="2:16" ht="30" customHeight="1" x14ac:dyDescent="0.45">
      <c r="B130" s="171"/>
      <c r="C130" s="89"/>
      <c r="D130" s="89"/>
      <c r="E130" s="67" t="s">
        <v>15</v>
      </c>
      <c r="F130" s="77">
        <v>2</v>
      </c>
      <c r="G130" s="77">
        <v>3</v>
      </c>
      <c r="H130" s="69" t="str">
        <f t="shared" si="17"/>
        <v>1T0203</v>
      </c>
      <c r="I130" s="65">
        <f>I129+2</f>
        <v>23</v>
      </c>
      <c r="J130" s="65" t="str">
        <f t="shared" si="50"/>
        <v>23-1T0203-/MBFV-11-15</v>
      </c>
      <c r="K130" s="65" t="str">
        <f t="shared" si="51"/>
        <v>15-MBFV-11/-1T0203-23</v>
      </c>
      <c r="L130" s="73">
        <v>15</v>
      </c>
      <c r="M130" s="171"/>
      <c r="N130" s="175"/>
      <c r="O130" s="74" t="s">
        <v>174</v>
      </c>
      <c r="P130" s="89"/>
    </row>
    <row r="131" spans="2:16" ht="30" customHeight="1" x14ac:dyDescent="0.45">
      <c r="B131" s="171"/>
      <c r="C131" s="89"/>
      <c r="D131" s="89"/>
      <c r="E131" s="67" t="s">
        <v>16</v>
      </c>
      <c r="F131" s="77">
        <v>2</v>
      </c>
      <c r="G131" s="77">
        <v>3</v>
      </c>
      <c r="H131" s="69" t="str">
        <f t="shared" si="17"/>
        <v>1T0203</v>
      </c>
      <c r="I131" s="65">
        <f>I130+2</f>
        <v>25</v>
      </c>
      <c r="J131" s="65" t="str">
        <f t="shared" si="50"/>
        <v>25-1T0203-/MBFV-11-19</v>
      </c>
      <c r="K131" s="65" t="str">
        <f t="shared" si="51"/>
        <v>19-MBFV-11/-1T0203-25</v>
      </c>
      <c r="L131" s="73">
        <v>19</v>
      </c>
      <c r="M131" s="171"/>
      <c r="N131" s="175"/>
      <c r="O131" s="74" t="s">
        <v>175</v>
      </c>
      <c r="P131" s="89"/>
    </row>
    <row r="132" spans="2:16" ht="30" customHeight="1" x14ac:dyDescent="0.45">
      <c r="B132" s="171"/>
      <c r="C132" s="89"/>
      <c r="D132" s="89"/>
      <c r="E132" s="67" t="s">
        <v>17</v>
      </c>
      <c r="F132" s="77">
        <v>2</v>
      </c>
      <c r="G132" s="77">
        <v>3</v>
      </c>
      <c r="H132" s="69" t="str">
        <f t="shared" si="17"/>
        <v>1T0203</v>
      </c>
      <c r="I132" s="65">
        <f>I131+1</f>
        <v>26</v>
      </c>
      <c r="J132" s="65" t="str">
        <f t="shared" si="50"/>
        <v>26-1T0203-/MBFV-11-22</v>
      </c>
      <c r="K132" s="65" t="str">
        <f t="shared" si="51"/>
        <v>22-MBFV-11/-1T0203-26</v>
      </c>
      <c r="L132" s="73">
        <v>22</v>
      </c>
      <c r="M132" s="171"/>
      <c r="N132" s="175"/>
      <c r="O132" s="71" t="s">
        <v>31</v>
      </c>
      <c r="P132" s="89"/>
    </row>
    <row r="133" spans="2:16" ht="30" customHeight="1" x14ac:dyDescent="0.45">
      <c r="B133" s="171"/>
      <c r="C133" s="89"/>
      <c r="D133" s="89"/>
      <c r="E133" s="67" t="s">
        <v>18</v>
      </c>
      <c r="F133" s="77">
        <v>4</v>
      </c>
      <c r="G133" s="77">
        <v>4</v>
      </c>
      <c r="H133" s="69" t="str">
        <f t="shared" si="17"/>
        <v>1T0404</v>
      </c>
      <c r="I133" s="65">
        <v>17</v>
      </c>
      <c r="J133" s="65" t="str">
        <f t="shared" si="50"/>
        <v>17-1T0404-/MBFV-11-5</v>
      </c>
      <c r="K133" s="65" t="str">
        <f t="shared" si="51"/>
        <v>5-MBFV-11/-1T0404-17</v>
      </c>
      <c r="L133" s="73">
        <v>5</v>
      </c>
      <c r="M133" s="171"/>
      <c r="N133" s="175"/>
      <c r="O133" s="71" t="s">
        <v>198</v>
      </c>
      <c r="P133" s="89" t="str" cm="1">
        <f t="array" ref="P133">UPPER(
   "In PLC side, " &amp;
   _xlfn.TEXTJOIN(", ", TRUE,
      H133:INDEX(H133:H137, MATCH("COMMON",O133:O137,0)-2) &amp;
      ": " &amp;
      (I133:INDEX(I133:I137, MATCH("COMMON",O133:O137,0)-2)+1)
   ) &amp;
   " &amp; " &amp;
   INDEX(H133:H137, MATCH("COMMON",O133:O137,0)-1) &amp; ": " &amp;
   INDEX(I133:I137, MATCH("COMMON",O133:O137,0)-1)+1 &amp;
   " are already looped"
)</f>
        <v>IN PLC SIDE, 1T0404: 18 &amp; 1T0404: 20 ARE ALREADY LOOPED</v>
      </c>
    </row>
    <row r="134" spans="2:16" ht="30" customHeight="1" x14ac:dyDescent="0.45">
      <c r="B134" s="171"/>
      <c r="C134" s="89"/>
      <c r="D134" s="89"/>
      <c r="E134" s="67" t="s">
        <v>19</v>
      </c>
      <c r="F134" s="77">
        <v>4</v>
      </c>
      <c r="G134" s="77">
        <v>4</v>
      </c>
      <c r="H134" s="69" t="str">
        <f t="shared" si="17"/>
        <v>1T0404</v>
      </c>
      <c r="I134" s="65">
        <f>I133+2</f>
        <v>19</v>
      </c>
      <c r="J134" s="65" t="str">
        <f t="shared" si="50"/>
        <v>19-1T0404-/MBFV-11-7</v>
      </c>
      <c r="K134" s="65" t="str">
        <f t="shared" si="51"/>
        <v>7-MBFV-11/-1T0404-19</v>
      </c>
      <c r="L134" s="73">
        <v>7</v>
      </c>
      <c r="M134" s="171"/>
      <c r="N134" s="175"/>
      <c r="O134" s="71" t="s">
        <v>199</v>
      </c>
      <c r="P134" s="89"/>
    </row>
    <row r="135" spans="2:16" ht="30" customHeight="1" x14ac:dyDescent="0.45">
      <c r="B135" s="171"/>
      <c r="C135" s="89"/>
      <c r="D135" s="89"/>
      <c r="E135" s="67" t="s">
        <v>20</v>
      </c>
      <c r="F135" s="77">
        <v>4</v>
      </c>
      <c r="G135" s="77">
        <v>4</v>
      </c>
      <c r="H135" s="69" t="str">
        <f t="shared" si="17"/>
        <v>1T0404</v>
      </c>
      <c r="I135" s="65">
        <f>I134+1</f>
        <v>20</v>
      </c>
      <c r="J135" s="65" t="str">
        <f t="shared" si="50"/>
        <v>20-1T0404-/MBFV-11-8</v>
      </c>
      <c r="K135" s="65" t="str">
        <f t="shared" si="51"/>
        <v>8-MBFV-11/-1T0404-20</v>
      </c>
      <c r="L135" s="73">
        <v>8</v>
      </c>
      <c r="M135" s="171"/>
      <c r="N135" s="175"/>
      <c r="O135" s="71" t="s">
        <v>31</v>
      </c>
      <c r="P135" s="89"/>
    </row>
    <row r="136" spans="2:16" ht="30" customHeight="1" x14ac:dyDescent="0.45">
      <c r="B136" s="171"/>
      <c r="C136" s="89"/>
      <c r="D136" s="89"/>
      <c r="E136" s="67" t="s">
        <v>21</v>
      </c>
      <c r="F136" s="77" t="s">
        <v>45</v>
      </c>
      <c r="G136" s="77" t="s">
        <v>45</v>
      </c>
      <c r="H136" s="69" t="s">
        <v>45</v>
      </c>
      <c r="I136" s="65" t="s">
        <v>45</v>
      </c>
      <c r="J136" s="65" t="s">
        <v>45</v>
      </c>
      <c r="K136" s="65" t="s">
        <v>45</v>
      </c>
      <c r="L136" s="73" t="s">
        <v>45</v>
      </c>
      <c r="M136" s="171"/>
      <c r="N136" s="175"/>
      <c r="O136" s="71" t="s">
        <v>34</v>
      </c>
      <c r="P136" s="89"/>
    </row>
    <row r="137" spans="2:16" ht="30" customHeight="1" x14ac:dyDescent="0.45">
      <c r="B137" s="172"/>
      <c r="C137" s="89"/>
      <c r="D137" s="89"/>
      <c r="E137" s="67" t="s">
        <v>30</v>
      </c>
      <c r="F137" s="77" t="s">
        <v>45</v>
      </c>
      <c r="G137" s="77" t="s">
        <v>45</v>
      </c>
      <c r="H137" s="69" t="s">
        <v>45</v>
      </c>
      <c r="I137" s="65" t="s">
        <v>45</v>
      </c>
      <c r="J137" s="65" t="s">
        <v>45</v>
      </c>
      <c r="K137" s="65" t="s">
        <v>45</v>
      </c>
      <c r="L137" s="73" t="s">
        <v>45</v>
      </c>
      <c r="M137" s="172"/>
      <c r="N137" s="176"/>
      <c r="O137" s="71" t="s">
        <v>34</v>
      </c>
      <c r="P137" s="89"/>
    </row>
    <row r="138" spans="2:16" ht="30" customHeight="1" x14ac:dyDescent="0.45">
      <c r="B138" s="170">
        <f>B128+1</f>
        <v>14</v>
      </c>
      <c r="C138" s="89" t="s">
        <v>162</v>
      </c>
      <c r="D138" s="89" t="s">
        <v>200</v>
      </c>
      <c r="E138" s="67" t="s">
        <v>13</v>
      </c>
      <c r="F138" s="77">
        <v>2</v>
      </c>
      <c r="G138" s="77">
        <v>4</v>
      </c>
      <c r="H138" s="69" t="str">
        <f t="shared" ref="H138:H200" si="52">"1T"&amp;TEXT(F138,"00")&amp;TEXT(G138,"00")</f>
        <v>1T0204</v>
      </c>
      <c r="I138" s="65">
        <v>1</v>
      </c>
      <c r="J138" s="65" t="str">
        <f>CONCATENATE(I138,"-",H138,"-","/",$M$138,"-",L138)</f>
        <v>1-1T0204-/MBFV-12-42</v>
      </c>
      <c r="K138" s="65" t="str">
        <f>CONCATENATE(L138,"-",$M$138,"/","-",H138,"-",I138)</f>
        <v>42-MBFV-12/-1T0204-1</v>
      </c>
      <c r="L138" s="65">
        <v>42</v>
      </c>
      <c r="M138" s="170" t="str">
        <f>C138</f>
        <v>MBFV-12</v>
      </c>
      <c r="N138" s="159" t="s">
        <v>187</v>
      </c>
      <c r="O138" s="74" t="s">
        <v>172</v>
      </c>
      <c r="P138" s="89" t="str" cm="1">
        <f t="array" ref="P138">UPPER(
   "In PLC side, " &amp;
   _xlfn.TEXTJOIN(", ", TRUE,
      H138:INDEX(H138:H149, MATCH("COMMON",O138:O149,0)-2) &amp;
      ": " &amp;
      (I138:INDEX(I138:I149, MATCH("COMMON",O138:O149,0)-2)+1)
   ) &amp;
   " &amp; " &amp;
   INDEX(H138:H149, MATCH("COMMON",O138:O149,0)-1) &amp; ": " &amp;
   INDEX(I138:I149, MATCH("COMMON",O138:O149,0)-1)+1 &amp;
   " are already looped"
)</f>
        <v>IN PLC SIDE, 1T0204: 2, 1T0204: 4, 1T0204: 6 &amp; 1T0204: 8 ARE ALREADY LOOPED</v>
      </c>
    </row>
    <row r="139" spans="2:16" ht="30" customHeight="1" x14ac:dyDescent="0.45">
      <c r="B139" s="171"/>
      <c r="C139" s="89"/>
      <c r="D139" s="89"/>
      <c r="E139" s="67" t="s">
        <v>14</v>
      </c>
      <c r="F139" s="77">
        <v>2</v>
      </c>
      <c r="G139" s="77">
        <v>4</v>
      </c>
      <c r="H139" s="69" t="str">
        <f t="shared" si="52"/>
        <v>1T0204</v>
      </c>
      <c r="I139" s="65">
        <f>I138+2</f>
        <v>3</v>
      </c>
      <c r="J139" s="65" t="str">
        <f t="shared" ref="J139:J145" si="53">CONCATENATE(I139,"-",H139,"-","/",$M$138,"-",L139)</f>
        <v>3-1T0204-/MBFV-12-38</v>
      </c>
      <c r="K139" s="65" t="str">
        <f t="shared" ref="K139:K145" si="54">CONCATENATE(L139,"-",$M$138,"/","-",H139,"-",I139)</f>
        <v>38-MBFV-12/-1T0204-3</v>
      </c>
      <c r="L139" s="73">
        <v>38</v>
      </c>
      <c r="M139" s="171"/>
      <c r="N139" s="159"/>
      <c r="O139" s="74" t="s">
        <v>173</v>
      </c>
      <c r="P139" s="89"/>
    </row>
    <row r="140" spans="2:16" ht="30" customHeight="1" x14ac:dyDescent="0.45">
      <c r="B140" s="171"/>
      <c r="C140" s="89"/>
      <c r="D140" s="89"/>
      <c r="E140" s="67" t="s">
        <v>15</v>
      </c>
      <c r="F140" s="77">
        <v>2</v>
      </c>
      <c r="G140" s="77">
        <v>4</v>
      </c>
      <c r="H140" s="69" t="str">
        <f t="shared" si="52"/>
        <v>1T0204</v>
      </c>
      <c r="I140" s="65">
        <f>I139+2</f>
        <v>5</v>
      </c>
      <c r="J140" s="65" t="str">
        <f t="shared" si="53"/>
        <v>5-1T0204-/MBFV-12-15</v>
      </c>
      <c r="K140" s="65" t="str">
        <f>CONCATENATE(L140,"-",$M$138,"/","-",H140,"-",I140)</f>
        <v>15-MBFV-12/-1T0204-5</v>
      </c>
      <c r="L140" s="73">
        <v>15</v>
      </c>
      <c r="M140" s="171"/>
      <c r="N140" s="159"/>
      <c r="O140" s="74" t="s">
        <v>174</v>
      </c>
      <c r="P140" s="89"/>
    </row>
    <row r="141" spans="2:16" ht="30" customHeight="1" x14ac:dyDescent="0.45">
      <c r="B141" s="171"/>
      <c r="C141" s="89"/>
      <c r="D141" s="89"/>
      <c r="E141" s="67" t="s">
        <v>16</v>
      </c>
      <c r="F141" s="77">
        <v>2</v>
      </c>
      <c r="G141" s="77">
        <v>4</v>
      </c>
      <c r="H141" s="69" t="str">
        <f t="shared" si="52"/>
        <v>1T0204</v>
      </c>
      <c r="I141" s="65">
        <f>I140+2</f>
        <v>7</v>
      </c>
      <c r="J141" s="65" t="str">
        <f t="shared" si="53"/>
        <v>7-1T0204-/MBFV-12-19</v>
      </c>
      <c r="K141" s="65" t="str">
        <f t="shared" si="54"/>
        <v>19-MBFV-12/-1T0204-7</v>
      </c>
      <c r="L141" s="73">
        <v>19</v>
      </c>
      <c r="M141" s="171"/>
      <c r="N141" s="159"/>
      <c r="O141" s="74" t="s">
        <v>175</v>
      </c>
      <c r="P141" s="89"/>
    </row>
    <row r="142" spans="2:16" ht="30" customHeight="1" x14ac:dyDescent="0.45">
      <c r="B142" s="171"/>
      <c r="C142" s="89"/>
      <c r="D142" s="89"/>
      <c r="E142" s="67" t="s">
        <v>17</v>
      </c>
      <c r="F142" s="77">
        <v>2</v>
      </c>
      <c r="G142" s="77">
        <v>4</v>
      </c>
      <c r="H142" s="69" t="str">
        <f t="shared" si="52"/>
        <v>1T0204</v>
      </c>
      <c r="I142" s="65">
        <f>I141+1</f>
        <v>8</v>
      </c>
      <c r="J142" s="65" t="str">
        <f t="shared" si="53"/>
        <v>8-1T0204-/MBFV-12-22</v>
      </c>
      <c r="K142" s="65" t="str">
        <f t="shared" si="54"/>
        <v>22-MBFV-12/-1T0204-8</v>
      </c>
      <c r="L142" s="73">
        <v>22</v>
      </c>
      <c r="M142" s="171"/>
      <c r="N142" s="159"/>
      <c r="O142" s="71" t="s">
        <v>31</v>
      </c>
      <c r="P142" s="89"/>
    </row>
    <row r="143" spans="2:16" ht="30" customHeight="1" x14ac:dyDescent="0.45">
      <c r="B143" s="171"/>
      <c r="C143" s="89"/>
      <c r="D143" s="89"/>
      <c r="E143" s="67" t="s">
        <v>18</v>
      </c>
      <c r="F143" s="77">
        <v>4</v>
      </c>
      <c r="G143" s="77">
        <v>4</v>
      </c>
      <c r="H143" s="69" t="str">
        <f t="shared" si="52"/>
        <v>1T0404</v>
      </c>
      <c r="I143" s="65">
        <v>21</v>
      </c>
      <c r="J143" s="65" t="str">
        <f t="shared" si="53"/>
        <v>21-1T0404-/MBFV-12-5</v>
      </c>
      <c r="K143" s="65" t="str">
        <f t="shared" si="54"/>
        <v>5-MBFV-12/-1T0404-21</v>
      </c>
      <c r="L143" s="73">
        <v>5</v>
      </c>
      <c r="M143" s="171"/>
      <c r="N143" s="159"/>
      <c r="O143" s="71" t="s">
        <v>198</v>
      </c>
      <c r="P143" s="89" t="str" cm="1">
        <f t="array" ref="P143">UPPER(
   "In PLC side, " &amp;
   _xlfn.TEXTJOIN(", ", TRUE,
      H143:INDEX(H143:H147, MATCH("COMMON",O143:O147,0)-2) &amp;
      ": " &amp;
      (I143:INDEX(I143:I147, MATCH("COMMON",O143:O147,0)-2)+1)
   ) &amp;
   " &amp; " &amp;
   INDEX(H143:H147, MATCH("COMMON",O143:O147,0)-1) &amp; ": " &amp;
   INDEX(I143:I147, MATCH("COMMON",O143:O147,0)-1)+1 &amp;
   " are already looped"
)</f>
        <v>IN PLC SIDE, 1T0404: 22 &amp; 1T0404: 24 ARE ALREADY LOOPED</v>
      </c>
    </row>
    <row r="144" spans="2:16" ht="30" customHeight="1" x14ac:dyDescent="0.45">
      <c r="B144" s="171"/>
      <c r="C144" s="89"/>
      <c r="D144" s="89"/>
      <c r="E144" s="67" t="s">
        <v>19</v>
      </c>
      <c r="F144" s="77">
        <v>4</v>
      </c>
      <c r="G144" s="77">
        <v>4</v>
      </c>
      <c r="H144" s="69" t="str">
        <f t="shared" si="52"/>
        <v>1T0404</v>
      </c>
      <c r="I144" s="65">
        <f>I143+2</f>
        <v>23</v>
      </c>
      <c r="J144" s="65" t="str">
        <f t="shared" si="53"/>
        <v>23-1T0404-/MBFV-12-7</v>
      </c>
      <c r="K144" s="65" t="str">
        <f t="shared" si="54"/>
        <v>7-MBFV-12/-1T0404-23</v>
      </c>
      <c r="L144" s="73">
        <v>7</v>
      </c>
      <c r="M144" s="171"/>
      <c r="N144" s="159"/>
      <c r="O144" s="71" t="s">
        <v>199</v>
      </c>
      <c r="P144" s="89"/>
    </row>
    <row r="145" spans="2:16" ht="30" customHeight="1" x14ac:dyDescent="0.45">
      <c r="B145" s="171"/>
      <c r="C145" s="89"/>
      <c r="D145" s="89"/>
      <c r="E145" s="67" t="s">
        <v>20</v>
      </c>
      <c r="F145" s="77">
        <v>4</v>
      </c>
      <c r="G145" s="77">
        <v>4</v>
      </c>
      <c r="H145" s="69" t="str">
        <f t="shared" si="52"/>
        <v>1T0404</v>
      </c>
      <c r="I145" s="65">
        <f>I144+1</f>
        <v>24</v>
      </c>
      <c r="J145" s="65" t="str">
        <f t="shared" si="53"/>
        <v>24-1T0404-/MBFV-12-8</v>
      </c>
      <c r="K145" s="65" t="str">
        <f t="shared" si="54"/>
        <v>8-MBFV-12/-1T0404-24</v>
      </c>
      <c r="L145" s="73">
        <v>8</v>
      </c>
      <c r="M145" s="171"/>
      <c r="N145" s="159"/>
      <c r="O145" s="71" t="s">
        <v>31</v>
      </c>
      <c r="P145" s="89"/>
    </row>
    <row r="146" spans="2:16" ht="30" customHeight="1" x14ac:dyDescent="0.45">
      <c r="B146" s="171"/>
      <c r="C146" s="89"/>
      <c r="D146" s="89"/>
      <c r="E146" s="67" t="s">
        <v>21</v>
      </c>
      <c r="F146" s="77" t="s">
        <v>45</v>
      </c>
      <c r="G146" s="77" t="s">
        <v>45</v>
      </c>
      <c r="H146" s="69" t="s">
        <v>45</v>
      </c>
      <c r="I146" s="65" t="s">
        <v>45</v>
      </c>
      <c r="J146" s="65" t="s">
        <v>45</v>
      </c>
      <c r="K146" s="65" t="s">
        <v>45</v>
      </c>
      <c r="L146" s="73" t="s">
        <v>45</v>
      </c>
      <c r="M146" s="171"/>
      <c r="N146" s="159"/>
      <c r="O146" s="71" t="s">
        <v>34</v>
      </c>
      <c r="P146" s="89"/>
    </row>
    <row r="147" spans="2:16" ht="30" customHeight="1" x14ac:dyDescent="0.45">
      <c r="B147" s="172"/>
      <c r="C147" s="89"/>
      <c r="D147" s="89"/>
      <c r="E147" s="67" t="s">
        <v>30</v>
      </c>
      <c r="F147" s="77" t="s">
        <v>45</v>
      </c>
      <c r="G147" s="77" t="s">
        <v>45</v>
      </c>
      <c r="H147" s="69" t="s">
        <v>45</v>
      </c>
      <c r="I147" s="65" t="s">
        <v>45</v>
      </c>
      <c r="J147" s="65" t="s">
        <v>45</v>
      </c>
      <c r="K147" s="65" t="s">
        <v>45</v>
      </c>
      <c r="L147" s="73" t="s">
        <v>45</v>
      </c>
      <c r="M147" s="172"/>
      <c r="N147" s="159"/>
      <c r="O147" s="71" t="s">
        <v>34</v>
      </c>
      <c r="P147" s="89"/>
    </row>
    <row r="148" spans="2:16" ht="30" customHeight="1" x14ac:dyDescent="0.45">
      <c r="B148" s="170">
        <f>B138+1</f>
        <v>15</v>
      </c>
      <c r="C148" s="89" t="s">
        <v>163</v>
      </c>
      <c r="D148" s="89" t="s">
        <v>200</v>
      </c>
      <c r="E148" s="67" t="s">
        <v>13</v>
      </c>
      <c r="F148" s="77">
        <v>2</v>
      </c>
      <c r="G148" s="77">
        <v>4</v>
      </c>
      <c r="H148" s="69" t="str">
        <f t="shared" si="52"/>
        <v>1T0204</v>
      </c>
      <c r="I148" s="65">
        <f>I142+1</f>
        <v>9</v>
      </c>
      <c r="J148" s="65" t="str">
        <f>CONCATENATE(I148,"-",H148,"-","/",$M$148,"-",L148)</f>
        <v>9-1T0204-/MBFV-13-42</v>
      </c>
      <c r="K148" s="65" t="str">
        <f>CONCATENATE(L148,"-",$M$148,"/","-",H148,"-",I148)</f>
        <v>42-MBFV-13/-1T0204-9</v>
      </c>
      <c r="L148" s="65">
        <v>42</v>
      </c>
      <c r="M148" s="170" t="str">
        <f>C148</f>
        <v>MBFV-13</v>
      </c>
      <c r="N148" s="159" t="s">
        <v>188</v>
      </c>
      <c r="O148" s="74" t="s">
        <v>172</v>
      </c>
      <c r="P148" s="89" t="str" cm="1">
        <f t="array" ref="P148">UPPER(
   "In PLC side, " &amp;
   _xlfn.TEXTJOIN(", ", TRUE,
      H148:INDEX(H148:H159, MATCH("COMMON",O148:O159,0)-2) &amp;
      ": " &amp;
      (I148:INDEX(I148:I159, MATCH("COMMON",O148:O159,0)-2)+1)
   ) &amp;
   " &amp; " &amp;
   INDEX(H148:H159, MATCH("COMMON",O148:O159,0)-1) &amp; ": " &amp;
   INDEX(I148:I159, MATCH("COMMON",O148:O159,0)-1)+1 &amp;
   " are already looped"
)</f>
        <v>IN PLC SIDE, 1T0204: 10, 1T0204: 12, 1T0204: 14 &amp; 1T0204: 16 ARE ALREADY LOOPED</v>
      </c>
    </row>
    <row r="149" spans="2:16" ht="30" customHeight="1" x14ac:dyDescent="0.45">
      <c r="B149" s="171"/>
      <c r="C149" s="89"/>
      <c r="D149" s="89"/>
      <c r="E149" s="67" t="s">
        <v>14</v>
      </c>
      <c r="F149" s="77">
        <v>2</v>
      </c>
      <c r="G149" s="77">
        <v>4</v>
      </c>
      <c r="H149" s="69" t="str">
        <f t="shared" si="52"/>
        <v>1T0204</v>
      </c>
      <c r="I149" s="65">
        <f>I148+2</f>
        <v>11</v>
      </c>
      <c r="J149" s="65" t="str">
        <f t="shared" ref="J149:J155" si="55">CONCATENATE(I149,"-",H149,"-","/",$M$148,"-",L149)</f>
        <v>11-1T0204-/MBFV-13-38</v>
      </c>
      <c r="K149" s="65" t="str">
        <f t="shared" ref="K149:K155" si="56">CONCATENATE(L149,"-",$M$148,"/","-",H149,"-",I149)</f>
        <v>38-MBFV-13/-1T0204-11</v>
      </c>
      <c r="L149" s="73">
        <v>38</v>
      </c>
      <c r="M149" s="171"/>
      <c r="N149" s="159"/>
      <c r="O149" s="74" t="s">
        <v>173</v>
      </c>
      <c r="P149" s="89"/>
    </row>
    <row r="150" spans="2:16" ht="30" customHeight="1" x14ac:dyDescent="0.45">
      <c r="B150" s="171"/>
      <c r="C150" s="89"/>
      <c r="D150" s="89"/>
      <c r="E150" s="67" t="s">
        <v>15</v>
      </c>
      <c r="F150" s="77">
        <v>2</v>
      </c>
      <c r="G150" s="77">
        <v>4</v>
      </c>
      <c r="H150" s="69" t="str">
        <f t="shared" si="52"/>
        <v>1T0204</v>
      </c>
      <c r="I150" s="65">
        <f>I149+2</f>
        <v>13</v>
      </c>
      <c r="J150" s="65" t="str">
        <f t="shared" si="55"/>
        <v>13-1T0204-/MBFV-13-15</v>
      </c>
      <c r="K150" s="65" t="str">
        <f t="shared" si="56"/>
        <v>15-MBFV-13/-1T0204-13</v>
      </c>
      <c r="L150" s="73">
        <v>15</v>
      </c>
      <c r="M150" s="171"/>
      <c r="N150" s="159"/>
      <c r="O150" s="74" t="s">
        <v>174</v>
      </c>
      <c r="P150" s="89"/>
    </row>
    <row r="151" spans="2:16" ht="30" customHeight="1" x14ac:dyDescent="0.45">
      <c r="B151" s="171"/>
      <c r="C151" s="89"/>
      <c r="D151" s="89"/>
      <c r="E151" s="67" t="s">
        <v>16</v>
      </c>
      <c r="F151" s="77">
        <v>2</v>
      </c>
      <c r="G151" s="77">
        <v>4</v>
      </c>
      <c r="H151" s="69" t="str">
        <f t="shared" si="52"/>
        <v>1T0204</v>
      </c>
      <c r="I151" s="65">
        <f>I150+2</f>
        <v>15</v>
      </c>
      <c r="J151" s="65" t="str">
        <f t="shared" si="55"/>
        <v>15-1T0204-/MBFV-13-19</v>
      </c>
      <c r="K151" s="65" t="str">
        <f t="shared" si="56"/>
        <v>19-MBFV-13/-1T0204-15</v>
      </c>
      <c r="L151" s="73">
        <v>19</v>
      </c>
      <c r="M151" s="171"/>
      <c r="N151" s="159"/>
      <c r="O151" s="74" t="s">
        <v>175</v>
      </c>
      <c r="P151" s="89"/>
    </row>
    <row r="152" spans="2:16" ht="30" customHeight="1" x14ac:dyDescent="0.45">
      <c r="B152" s="171"/>
      <c r="C152" s="89"/>
      <c r="D152" s="89"/>
      <c r="E152" s="67" t="s">
        <v>17</v>
      </c>
      <c r="F152" s="77">
        <v>2</v>
      </c>
      <c r="G152" s="77">
        <v>4</v>
      </c>
      <c r="H152" s="69" t="str">
        <f t="shared" si="52"/>
        <v>1T0204</v>
      </c>
      <c r="I152" s="65">
        <f>I151+1</f>
        <v>16</v>
      </c>
      <c r="J152" s="65" t="str">
        <f t="shared" si="55"/>
        <v>16-1T0204-/MBFV-13-22</v>
      </c>
      <c r="K152" s="65" t="str">
        <f t="shared" si="56"/>
        <v>22-MBFV-13/-1T0204-16</v>
      </c>
      <c r="L152" s="73">
        <v>22</v>
      </c>
      <c r="M152" s="171"/>
      <c r="N152" s="159"/>
      <c r="O152" s="71" t="s">
        <v>31</v>
      </c>
      <c r="P152" s="89"/>
    </row>
    <row r="153" spans="2:16" ht="30" customHeight="1" x14ac:dyDescent="0.45">
      <c r="B153" s="171"/>
      <c r="C153" s="89"/>
      <c r="D153" s="89"/>
      <c r="E153" s="67" t="s">
        <v>18</v>
      </c>
      <c r="F153" s="77">
        <v>4</v>
      </c>
      <c r="G153" s="77">
        <v>4</v>
      </c>
      <c r="H153" s="69" t="str">
        <f t="shared" si="52"/>
        <v>1T0404</v>
      </c>
      <c r="I153" s="65">
        <v>25</v>
      </c>
      <c r="J153" s="65" t="str">
        <f t="shared" si="55"/>
        <v>25-1T0404-/MBFV-13-5</v>
      </c>
      <c r="K153" s="65" t="str">
        <f t="shared" si="56"/>
        <v>5-MBFV-13/-1T0404-25</v>
      </c>
      <c r="L153" s="73">
        <v>5</v>
      </c>
      <c r="M153" s="171"/>
      <c r="N153" s="159"/>
      <c r="O153" s="71" t="s">
        <v>198</v>
      </c>
      <c r="P153" s="89" t="str" cm="1">
        <f t="array" ref="P153">UPPER(
   "In PLC side, " &amp;
   _xlfn.TEXTJOIN(", ", TRUE,
      H153:INDEX(H153:H157, MATCH("COMMON",O153:O157,0)-2) &amp;
      ": " &amp;
      (I153:INDEX(I153:I157, MATCH("COMMON",O153:O157,0)-2)+1)
   ) &amp;
   " &amp; " &amp;
   INDEX(H153:H157, MATCH("COMMON",O153:O157,0)-1) &amp; ": " &amp;
   INDEX(I153:I157, MATCH("COMMON",O153:O157,0)-1)+1 &amp;
   " are already looped"
)</f>
        <v>IN PLC SIDE, 1T0404: 26 &amp; 1T0405: 2 ARE ALREADY LOOPED</v>
      </c>
    </row>
    <row r="154" spans="2:16" ht="30" customHeight="1" x14ac:dyDescent="0.45">
      <c r="B154" s="171"/>
      <c r="C154" s="89"/>
      <c r="D154" s="89"/>
      <c r="E154" s="67" t="s">
        <v>19</v>
      </c>
      <c r="F154" s="77">
        <v>4</v>
      </c>
      <c r="G154" s="77">
        <v>5</v>
      </c>
      <c r="H154" s="69" t="str">
        <f t="shared" si="52"/>
        <v>1T0405</v>
      </c>
      <c r="I154" s="65">
        <v>1</v>
      </c>
      <c r="J154" s="65" t="str">
        <f t="shared" si="55"/>
        <v>1-1T0405-/MBFV-13-7</v>
      </c>
      <c r="K154" s="65" t="str">
        <f t="shared" si="56"/>
        <v>7-MBFV-13/-1T0405-1</v>
      </c>
      <c r="L154" s="73">
        <v>7</v>
      </c>
      <c r="M154" s="171"/>
      <c r="N154" s="159"/>
      <c r="O154" s="71" t="s">
        <v>199</v>
      </c>
      <c r="P154" s="89"/>
    </row>
    <row r="155" spans="2:16" ht="30" customHeight="1" x14ac:dyDescent="0.45">
      <c r="B155" s="171"/>
      <c r="C155" s="89"/>
      <c r="D155" s="89"/>
      <c r="E155" s="67" t="s">
        <v>20</v>
      </c>
      <c r="F155" s="77">
        <v>4</v>
      </c>
      <c r="G155" s="77">
        <v>5</v>
      </c>
      <c r="H155" s="69" t="str">
        <f t="shared" si="52"/>
        <v>1T0405</v>
      </c>
      <c r="I155" s="65">
        <f>I154+1</f>
        <v>2</v>
      </c>
      <c r="J155" s="65" t="str">
        <f t="shared" si="55"/>
        <v>2-1T0405-/MBFV-13-8</v>
      </c>
      <c r="K155" s="65" t="str">
        <f t="shared" si="56"/>
        <v>8-MBFV-13/-1T0405-2</v>
      </c>
      <c r="L155" s="73">
        <v>8</v>
      </c>
      <c r="M155" s="171"/>
      <c r="N155" s="159"/>
      <c r="O155" s="71" t="s">
        <v>31</v>
      </c>
      <c r="P155" s="89"/>
    </row>
    <row r="156" spans="2:16" ht="30" customHeight="1" x14ac:dyDescent="0.45">
      <c r="B156" s="171"/>
      <c r="C156" s="89"/>
      <c r="D156" s="89"/>
      <c r="E156" s="67" t="s">
        <v>21</v>
      </c>
      <c r="F156" s="77" t="s">
        <v>45</v>
      </c>
      <c r="G156" s="77" t="s">
        <v>45</v>
      </c>
      <c r="H156" s="69" t="s">
        <v>45</v>
      </c>
      <c r="I156" s="65" t="s">
        <v>45</v>
      </c>
      <c r="J156" s="65" t="s">
        <v>45</v>
      </c>
      <c r="K156" s="65" t="s">
        <v>45</v>
      </c>
      <c r="L156" s="73" t="s">
        <v>45</v>
      </c>
      <c r="M156" s="171"/>
      <c r="N156" s="159"/>
      <c r="O156" s="71" t="s">
        <v>34</v>
      </c>
      <c r="P156" s="89"/>
    </row>
    <row r="157" spans="2:16" ht="30" customHeight="1" x14ac:dyDescent="0.45">
      <c r="B157" s="172"/>
      <c r="C157" s="89"/>
      <c r="D157" s="89"/>
      <c r="E157" s="67" t="s">
        <v>30</v>
      </c>
      <c r="F157" s="77" t="s">
        <v>45</v>
      </c>
      <c r="G157" s="77" t="s">
        <v>45</v>
      </c>
      <c r="H157" s="69" t="s">
        <v>45</v>
      </c>
      <c r="I157" s="65" t="s">
        <v>45</v>
      </c>
      <c r="J157" s="65" t="s">
        <v>45</v>
      </c>
      <c r="K157" s="65" t="s">
        <v>45</v>
      </c>
      <c r="L157" s="73" t="s">
        <v>45</v>
      </c>
      <c r="M157" s="172"/>
      <c r="N157" s="159"/>
      <c r="O157" s="71" t="s">
        <v>34</v>
      </c>
      <c r="P157" s="89"/>
    </row>
    <row r="158" spans="2:16" ht="30" customHeight="1" x14ac:dyDescent="0.45">
      <c r="B158" s="88">
        <f>B148+1</f>
        <v>16</v>
      </c>
      <c r="C158" s="89" t="s">
        <v>164</v>
      </c>
      <c r="D158" s="89" t="s">
        <v>200</v>
      </c>
      <c r="E158" s="67" t="s">
        <v>13</v>
      </c>
      <c r="F158" s="77">
        <v>2</v>
      </c>
      <c r="G158" s="77">
        <v>4</v>
      </c>
      <c r="H158" s="69" t="str">
        <f t="shared" si="52"/>
        <v>1T0204</v>
      </c>
      <c r="I158" s="65">
        <f>I152+1</f>
        <v>17</v>
      </c>
      <c r="J158" s="65" t="str">
        <f t="shared" ref="J158" si="57">CONCATENATE(I158,"-",H158,"-","/",M158,"-",L158)</f>
        <v>17-1T0204-/MBFV-14-42</v>
      </c>
      <c r="K158" s="65" t="str">
        <f t="shared" ref="K158" si="58">CONCATENATE(L158,"-",M158,"/","-",H158,"-",I158)</f>
        <v>42-MBFV-14/-1T0204-17</v>
      </c>
      <c r="L158" s="65">
        <v>42</v>
      </c>
      <c r="M158" s="88" t="str">
        <f>C158</f>
        <v>MBFV-14</v>
      </c>
      <c r="N158" s="159" t="s">
        <v>189</v>
      </c>
      <c r="O158" s="74" t="s">
        <v>172</v>
      </c>
      <c r="P158" s="89" t="str" cm="1">
        <f t="array" ref="P158">UPPER(
   "In PLC side, " &amp;
   _xlfn.TEXTJOIN(", ", TRUE,
      H158:INDEX(H158:H169, MATCH("COMMON",O158:O169,0)-2) &amp;
      ": " &amp;
      (I158:INDEX(I158:I169, MATCH("COMMON",O158:O169,0)-2)+1)
   ) &amp;
   " &amp; " &amp;
   INDEX(H158:H169, MATCH("COMMON",O158:O169,0)-1) &amp; ": " &amp;
   INDEX(I158:I169, MATCH("COMMON",O158:O169,0)-1)+1 &amp;
   " are already looped"
)</f>
        <v>IN PLC SIDE, 1T0204: 18, 1T0204: 20, 1T0204: 22 &amp; 1T0204: 24 ARE ALREADY LOOPED</v>
      </c>
    </row>
    <row r="159" spans="2:16" ht="30" customHeight="1" x14ac:dyDescent="0.45">
      <c r="B159" s="88"/>
      <c r="C159" s="89"/>
      <c r="D159" s="89"/>
      <c r="E159" s="67" t="s">
        <v>14</v>
      </c>
      <c r="F159" s="77">
        <v>2</v>
      </c>
      <c r="G159" s="77">
        <v>4</v>
      </c>
      <c r="H159" s="69" t="str">
        <f t="shared" si="52"/>
        <v>1T0204</v>
      </c>
      <c r="I159" s="65">
        <f>I158+2</f>
        <v>19</v>
      </c>
      <c r="J159" s="65" t="str">
        <f t="shared" ref="J159" si="59">CONCATENATE(I159,"-",H159,"-","/",M158,"-",L159)</f>
        <v>19-1T0204-/MBFV-14-38</v>
      </c>
      <c r="K159" s="65" t="str">
        <f t="shared" ref="K159" si="60">CONCATENATE(L159,"-",M158,"/","-",H159,"-",I159)</f>
        <v>38-MBFV-14/-1T0204-19</v>
      </c>
      <c r="L159" s="73">
        <v>38</v>
      </c>
      <c r="M159" s="88"/>
      <c r="N159" s="159"/>
      <c r="O159" s="74" t="s">
        <v>173</v>
      </c>
      <c r="P159" s="89"/>
    </row>
    <row r="160" spans="2:16" ht="30" customHeight="1" x14ac:dyDescent="0.45">
      <c r="B160" s="88"/>
      <c r="C160" s="89"/>
      <c r="D160" s="89"/>
      <c r="E160" s="67" t="s">
        <v>15</v>
      </c>
      <c r="F160" s="77">
        <v>2</v>
      </c>
      <c r="G160" s="77">
        <v>4</v>
      </c>
      <c r="H160" s="69" t="str">
        <f t="shared" si="52"/>
        <v>1T0204</v>
      </c>
      <c r="I160" s="65">
        <f>I159+2</f>
        <v>21</v>
      </c>
      <c r="J160" s="65" t="str">
        <f t="shared" ref="J160" si="61">CONCATENATE(I160,"-",H160,"-","/",M158,"-",L160)</f>
        <v>21-1T0204-/MBFV-14-15</v>
      </c>
      <c r="K160" s="65" t="str">
        <f>CONCATENATE(L160,"-",M158,"/","-",H160,"-",I160)</f>
        <v>15-MBFV-14/-1T0204-21</v>
      </c>
      <c r="L160" s="73">
        <v>15</v>
      </c>
      <c r="M160" s="88"/>
      <c r="N160" s="159"/>
      <c r="O160" s="74" t="s">
        <v>174</v>
      </c>
      <c r="P160" s="89"/>
    </row>
    <row r="161" spans="2:16" ht="30" customHeight="1" x14ac:dyDescent="0.45">
      <c r="B161" s="88"/>
      <c r="C161" s="89"/>
      <c r="D161" s="89"/>
      <c r="E161" s="67" t="s">
        <v>16</v>
      </c>
      <c r="F161" s="77">
        <v>2</v>
      </c>
      <c r="G161" s="77">
        <v>4</v>
      </c>
      <c r="H161" s="69" t="str">
        <f t="shared" si="52"/>
        <v>1T0204</v>
      </c>
      <c r="I161" s="65">
        <f>I160+2</f>
        <v>23</v>
      </c>
      <c r="J161" s="65" t="str">
        <f t="shared" ref="J161" si="62">CONCATENATE(I161,"-",H161,"-","/",M158,"-",L161)</f>
        <v>23-1T0204-/MBFV-14-19</v>
      </c>
      <c r="K161" s="65" t="str">
        <f>CONCATENATE(L161,"-",M158,"/","-",H161,"-",I161)</f>
        <v>19-MBFV-14/-1T0204-23</v>
      </c>
      <c r="L161" s="73">
        <v>19</v>
      </c>
      <c r="M161" s="88"/>
      <c r="N161" s="159"/>
      <c r="O161" s="74" t="s">
        <v>175</v>
      </c>
      <c r="P161" s="89"/>
    </row>
    <row r="162" spans="2:16" ht="30" customHeight="1" x14ac:dyDescent="0.45">
      <c r="B162" s="88"/>
      <c r="C162" s="89"/>
      <c r="D162" s="89"/>
      <c r="E162" s="67" t="s">
        <v>17</v>
      </c>
      <c r="F162" s="77">
        <v>2</v>
      </c>
      <c r="G162" s="77">
        <v>4</v>
      </c>
      <c r="H162" s="69" t="str">
        <f t="shared" si="52"/>
        <v>1T0204</v>
      </c>
      <c r="I162" s="65">
        <f>I161+1</f>
        <v>24</v>
      </c>
      <c r="J162" s="65" t="str">
        <f t="shared" ref="J162" si="63">CONCATENATE(I162,"-",H162,"-","/",M158,"-",L162)</f>
        <v>24-1T0204-/MBFV-14-22</v>
      </c>
      <c r="K162" s="65" t="str">
        <f>CONCATENATE(L162,"-",M158,"/","-",H162,"-",I162)</f>
        <v>22-MBFV-14/-1T0204-24</v>
      </c>
      <c r="L162" s="73">
        <v>22</v>
      </c>
      <c r="M162" s="88"/>
      <c r="N162" s="159"/>
      <c r="O162" s="71" t="s">
        <v>31</v>
      </c>
      <c r="P162" s="89"/>
    </row>
    <row r="163" spans="2:16" ht="30" customHeight="1" x14ac:dyDescent="0.45">
      <c r="B163" s="88"/>
      <c r="C163" s="89"/>
      <c r="D163" s="89"/>
      <c r="E163" s="67" t="s">
        <v>18</v>
      </c>
      <c r="F163" s="77">
        <v>4</v>
      </c>
      <c r="G163" s="77">
        <v>5</v>
      </c>
      <c r="H163" s="69" t="str">
        <f t="shared" si="52"/>
        <v>1T0405</v>
      </c>
      <c r="I163" s="65">
        <v>3</v>
      </c>
      <c r="J163" s="65" t="str">
        <f t="shared" ref="J163" si="64">CONCATENATE(I163,"-",H163,"-","/",M158,"-",L163)</f>
        <v>3-1T0405-/MBFV-14-5</v>
      </c>
      <c r="K163" s="65" t="str">
        <f>CONCATENATE(L163,"-",M158,"/","-",H163,"-",I163)</f>
        <v>5-MBFV-14/-1T0405-3</v>
      </c>
      <c r="L163" s="73">
        <v>5</v>
      </c>
      <c r="M163" s="88"/>
      <c r="N163" s="159"/>
      <c r="O163" s="71" t="s">
        <v>198</v>
      </c>
      <c r="P163" s="89" t="str" cm="1">
        <f t="array" ref="P163">UPPER(
   "In PLC side, " &amp;
   _xlfn.TEXTJOIN(", ", TRUE,
      H163:INDEX(H163:H167, MATCH("COMMON",O163:O167,0)-2) &amp;
      ": " &amp;
      (I163:INDEX(I163:I167, MATCH("COMMON",O163:O167,0)-2)+1)
   ) &amp;
   " &amp; " &amp;
   INDEX(H163:H167, MATCH("COMMON",O163:O167,0)-1) &amp; ": " &amp;
   INDEX(I163:I167, MATCH("COMMON",O163:O167,0)-1)+1 &amp;
   " are already looped"
)</f>
        <v>IN PLC SIDE, 1T0405: 4 &amp; 1T0405: 6 ARE ALREADY LOOPED</v>
      </c>
    </row>
    <row r="164" spans="2:16" ht="30" customHeight="1" x14ac:dyDescent="0.45">
      <c r="B164" s="88"/>
      <c r="C164" s="89"/>
      <c r="D164" s="89"/>
      <c r="E164" s="67" t="s">
        <v>19</v>
      </c>
      <c r="F164" s="77">
        <v>4</v>
      </c>
      <c r="G164" s="77">
        <v>5</v>
      </c>
      <c r="H164" s="69" t="str">
        <f t="shared" si="52"/>
        <v>1T0405</v>
      </c>
      <c r="I164" s="65">
        <f>I163+2</f>
        <v>5</v>
      </c>
      <c r="J164" s="65" t="str">
        <f t="shared" ref="J164" si="65">CONCATENATE(I164,"-",H164,"-","/",M158,"-",L164)</f>
        <v>5-1T0405-/MBFV-14-7</v>
      </c>
      <c r="K164" s="65" t="str">
        <f>CONCATENATE(L164,"-",M158,"/","-",H164,"-",I164)</f>
        <v>7-MBFV-14/-1T0405-5</v>
      </c>
      <c r="L164" s="73">
        <v>7</v>
      </c>
      <c r="M164" s="88"/>
      <c r="N164" s="159"/>
      <c r="O164" s="71" t="s">
        <v>199</v>
      </c>
      <c r="P164" s="89"/>
    </row>
    <row r="165" spans="2:16" ht="30" customHeight="1" x14ac:dyDescent="0.45">
      <c r="B165" s="88"/>
      <c r="C165" s="89"/>
      <c r="D165" s="89"/>
      <c r="E165" s="67" t="s">
        <v>20</v>
      </c>
      <c r="F165" s="77">
        <v>4</v>
      </c>
      <c r="G165" s="77">
        <v>5</v>
      </c>
      <c r="H165" s="69" t="str">
        <f t="shared" si="52"/>
        <v>1T0405</v>
      </c>
      <c r="I165" s="65">
        <f>I164+1</f>
        <v>6</v>
      </c>
      <c r="J165" s="65" t="str">
        <f t="shared" ref="J165" si="66">CONCATENATE(I165,"-",H165,"-","/",M158,"-",L165)</f>
        <v>6-1T0405-/MBFV-14-8</v>
      </c>
      <c r="K165" s="65" t="str">
        <f>CONCATENATE(L165,"-",M158,"/","-",H165,"-",I165)</f>
        <v>8-MBFV-14/-1T0405-6</v>
      </c>
      <c r="L165" s="73">
        <v>8</v>
      </c>
      <c r="M165" s="88"/>
      <c r="N165" s="159"/>
      <c r="O165" s="71" t="s">
        <v>31</v>
      </c>
      <c r="P165" s="89"/>
    </row>
    <row r="166" spans="2:16" ht="30" customHeight="1" x14ac:dyDescent="0.45">
      <c r="B166" s="88"/>
      <c r="C166" s="89"/>
      <c r="D166" s="89"/>
      <c r="E166" s="67" t="s">
        <v>21</v>
      </c>
      <c r="F166" s="77" t="s">
        <v>45</v>
      </c>
      <c r="G166" s="77" t="s">
        <v>45</v>
      </c>
      <c r="H166" s="69" t="s">
        <v>45</v>
      </c>
      <c r="I166" s="65" t="s">
        <v>45</v>
      </c>
      <c r="J166" s="65" t="s">
        <v>45</v>
      </c>
      <c r="K166" s="65" t="s">
        <v>45</v>
      </c>
      <c r="L166" s="73" t="s">
        <v>45</v>
      </c>
      <c r="M166" s="88"/>
      <c r="N166" s="159"/>
      <c r="O166" s="71" t="s">
        <v>34</v>
      </c>
      <c r="P166" s="89"/>
    </row>
    <row r="167" spans="2:16" ht="30" customHeight="1" x14ac:dyDescent="0.45">
      <c r="B167" s="88"/>
      <c r="C167" s="89"/>
      <c r="D167" s="89"/>
      <c r="E167" s="67" t="s">
        <v>30</v>
      </c>
      <c r="F167" s="77" t="s">
        <v>45</v>
      </c>
      <c r="G167" s="77" t="s">
        <v>45</v>
      </c>
      <c r="H167" s="69" t="s">
        <v>45</v>
      </c>
      <c r="I167" s="65" t="s">
        <v>45</v>
      </c>
      <c r="J167" s="65" t="s">
        <v>45</v>
      </c>
      <c r="K167" s="65" t="s">
        <v>45</v>
      </c>
      <c r="L167" s="73" t="s">
        <v>45</v>
      </c>
      <c r="M167" s="88"/>
      <c r="N167" s="159"/>
      <c r="O167" s="71" t="s">
        <v>34</v>
      </c>
      <c r="P167" s="89"/>
    </row>
    <row r="168" spans="2:16" ht="30" customHeight="1" x14ac:dyDescent="0.45">
      <c r="B168" s="170">
        <f t="shared" ref="B168" si="67">B158+1</f>
        <v>17</v>
      </c>
      <c r="C168" s="89" t="s">
        <v>165</v>
      </c>
      <c r="D168" s="89" t="s">
        <v>200</v>
      </c>
      <c r="E168" s="67" t="s">
        <v>13</v>
      </c>
      <c r="F168" s="77">
        <v>2</v>
      </c>
      <c r="G168" s="77">
        <v>4</v>
      </c>
      <c r="H168" s="69" t="str">
        <f t="shared" si="52"/>
        <v>1T0204</v>
      </c>
      <c r="I168" s="65">
        <f>I162+1</f>
        <v>25</v>
      </c>
      <c r="J168" s="65" t="str">
        <f>CONCATENATE(I168,"-",H168,"-","/",$M$168,"-",L168)</f>
        <v>25-1T0204-/MBFV-15-42</v>
      </c>
      <c r="K168" s="65" t="str">
        <f>CONCATENATE(L168,"-",$M$168,"/","-",H168,"-",I168)</f>
        <v>42-MBFV-15/-1T0204-25</v>
      </c>
      <c r="L168" s="65">
        <v>42</v>
      </c>
      <c r="M168" s="170" t="str">
        <f>C168</f>
        <v>MBFV-15</v>
      </c>
      <c r="N168" s="159" t="s">
        <v>190</v>
      </c>
      <c r="O168" s="74" t="s">
        <v>172</v>
      </c>
      <c r="P168" s="89" t="str" cm="1">
        <f t="array" ref="P168">UPPER(
   "In PLC side, " &amp;
   _xlfn.TEXTJOIN(", ", TRUE,
      H168:INDEX(H168:H179, MATCH("COMMON",O168:O179,0)-2) &amp;
      ": " &amp;
      (I168:INDEX(I168:I179, MATCH("COMMON",O168:O179,0)-2)+1)
   ) &amp;
   " &amp; " &amp;
   INDEX(H168:H179, MATCH("COMMON",O168:O179,0)-1) &amp; ": " &amp;
   INDEX(I168:I179, MATCH("COMMON",O168:O179,0)-1)+1 &amp;
   " are already looped"
)</f>
        <v>IN PLC SIDE, 1T0204: 26, 1T0205: 2, 1T0205: 4 &amp; 1T0205: 6 ARE ALREADY LOOPED</v>
      </c>
    </row>
    <row r="169" spans="2:16" ht="30" customHeight="1" x14ac:dyDescent="0.45">
      <c r="B169" s="171"/>
      <c r="C169" s="89"/>
      <c r="D169" s="89"/>
      <c r="E169" s="67" t="s">
        <v>14</v>
      </c>
      <c r="F169" s="77">
        <v>2</v>
      </c>
      <c r="G169" s="77">
        <v>5</v>
      </c>
      <c r="H169" s="69" t="str">
        <f t="shared" si="52"/>
        <v>1T0205</v>
      </c>
      <c r="I169" s="65">
        <v>1</v>
      </c>
      <c r="J169" s="65" t="str">
        <f t="shared" ref="J169:J175" si="68">CONCATENATE(I169,"-",H169,"-","/",$M$168,"-",L169)</f>
        <v>1-1T0205-/MBFV-15-38</v>
      </c>
      <c r="K169" s="65" t="str">
        <f t="shared" ref="K169:K175" si="69">CONCATENATE(L169,"-",$M$168,"/","-",H169,"-",I169)</f>
        <v>38-MBFV-15/-1T0205-1</v>
      </c>
      <c r="L169" s="73">
        <v>38</v>
      </c>
      <c r="M169" s="171"/>
      <c r="N169" s="159"/>
      <c r="O169" s="74" t="s">
        <v>173</v>
      </c>
      <c r="P169" s="89"/>
    </row>
    <row r="170" spans="2:16" ht="30" customHeight="1" x14ac:dyDescent="0.45">
      <c r="B170" s="171"/>
      <c r="C170" s="89"/>
      <c r="D170" s="89"/>
      <c r="E170" s="67" t="s">
        <v>15</v>
      </c>
      <c r="F170" s="77">
        <v>2</v>
      </c>
      <c r="G170" s="77">
        <v>5</v>
      </c>
      <c r="H170" s="69" t="str">
        <f t="shared" si="52"/>
        <v>1T0205</v>
      </c>
      <c r="I170" s="65">
        <f>I169+2</f>
        <v>3</v>
      </c>
      <c r="J170" s="65" t="str">
        <f t="shared" si="68"/>
        <v>3-1T0205-/MBFV-15-15</v>
      </c>
      <c r="K170" s="65" t="str">
        <f t="shared" si="69"/>
        <v>15-MBFV-15/-1T0205-3</v>
      </c>
      <c r="L170" s="73">
        <v>15</v>
      </c>
      <c r="M170" s="171"/>
      <c r="N170" s="159"/>
      <c r="O170" s="74" t="s">
        <v>174</v>
      </c>
      <c r="P170" s="89"/>
    </row>
    <row r="171" spans="2:16" ht="30" customHeight="1" x14ac:dyDescent="0.45">
      <c r="B171" s="171"/>
      <c r="C171" s="89"/>
      <c r="D171" s="89"/>
      <c r="E171" s="67" t="s">
        <v>16</v>
      </c>
      <c r="F171" s="77">
        <v>2</v>
      </c>
      <c r="G171" s="77">
        <v>5</v>
      </c>
      <c r="H171" s="69" t="str">
        <f t="shared" si="52"/>
        <v>1T0205</v>
      </c>
      <c r="I171" s="65">
        <f>I170+2</f>
        <v>5</v>
      </c>
      <c r="J171" s="65" t="str">
        <f t="shared" si="68"/>
        <v>5-1T0205-/MBFV-15-19</v>
      </c>
      <c r="K171" s="65" t="str">
        <f t="shared" si="69"/>
        <v>19-MBFV-15/-1T0205-5</v>
      </c>
      <c r="L171" s="73">
        <v>19</v>
      </c>
      <c r="M171" s="171"/>
      <c r="N171" s="159"/>
      <c r="O171" s="74" t="s">
        <v>175</v>
      </c>
      <c r="P171" s="89"/>
    </row>
    <row r="172" spans="2:16" ht="30" customHeight="1" x14ac:dyDescent="0.45">
      <c r="B172" s="171"/>
      <c r="C172" s="89"/>
      <c r="D172" s="89"/>
      <c r="E172" s="67" t="s">
        <v>17</v>
      </c>
      <c r="F172" s="77">
        <v>2</v>
      </c>
      <c r="G172" s="77">
        <v>5</v>
      </c>
      <c r="H172" s="69" t="str">
        <f t="shared" si="52"/>
        <v>1T0205</v>
      </c>
      <c r="I172" s="65">
        <f>I171+1</f>
        <v>6</v>
      </c>
      <c r="J172" s="65" t="str">
        <f t="shared" si="68"/>
        <v>6-1T0205-/MBFV-15-22</v>
      </c>
      <c r="K172" s="65" t="str">
        <f t="shared" si="69"/>
        <v>22-MBFV-15/-1T0205-6</v>
      </c>
      <c r="L172" s="73">
        <v>22</v>
      </c>
      <c r="M172" s="171"/>
      <c r="N172" s="159"/>
      <c r="O172" s="71" t="s">
        <v>31</v>
      </c>
      <c r="P172" s="89"/>
    </row>
    <row r="173" spans="2:16" ht="30" customHeight="1" x14ac:dyDescent="0.45">
      <c r="B173" s="171"/>
      <c r="C173" s="89"/>
      <c r="D173" s="89"/>
      <c r="E173" s="67" t="s">
        <v>18</v>
      </c>
      <c r="F173" s="77">
        <v>4</v>
      </c>
      <c r="G173" s="77">
        <v>5</v>
      </c>
      <c r="H173" s="69" t="str">
        <f t="shared" si="52"/>
        <v>1T0405</v>
      </c>
      <c r="I173" s="65">
        <v>7</v>
      </c>
      <c r="J173" s="65" t="str">
        <f t="shared" si="68"/>
        <v>7-1T0405-/MBFV-15-5</v>
      </c>
      <c r="K173" s="65" t="str">
        <f t="shared" si="69"/>
        <v>5-MBFV-15/-1T0405-7</v>
      </c>
      <c r="L173" s="73">
        <v>5</v>
      </c>
      <c r="M173" s="171"/>
      <c r="N173" s="159"/>
      <c r="O173" s="71" t="s">
        <v>198</v>
      </c>
      <c r="P173" s="89" t="str" cm="1">
        <f t="array" ref="P173">UPPER(
   "In PLC side, " &amp;
   _xlfn.TEXTJOIN(", ", TRUE,
      H173:INDEX(H173:H177, MATCH("COMMON",O173:O177,0)-2) &amp;
      ": " &amp;
      (I173:INDEX(I173:I177, MATCH("COMMON",O173:O177,0)-2)+1)
   ) &amp;
   " &amp; " &amp;
   INDEX(H173:H177, MATCH("COMMON",O173:O177,0)-1) &amp; ": " &amp;
   INDEX(I173:I177, MATCH("COMMON",O173:O177,0)-1)+1 &amp;
   " are already looped"
)</f>
        <v>IN PLC SIDE, 1T0405: 8 &amp; 1T0405: 10 ARE ALREADY LOOPED</v>
      </c>
    </row>
    <row r="174" spans="2:16" ht="30" customHeight="1" x14ac:dyDescent="0.45">
      <c r="B174" s="171"/>
      <c r="C174" s="89"/>
      <c r="D174" s="89"/>
      <c r="E174" s="67" t="s">
        <v>19</v>
      </c>
      <c r="F174" s="77">
        <v>4</v>
      </c>
      <c r="G174" s="77">
        <v>5</v>
      </c>
      <c r="H174" s="69" t="str">
        <f t="shared" si="52"/>
        <v>1T0405</v>
      </c>
      <c r="I174" s="65">
        <f>I173+2</f>
        <v>9</v>
      </c>
      <c r="J174" s="65" t="str">
        <f t="shared" si="68"/>
        <v>9-1T0405-/MBFV-15-7</v>
      </c>
      <c r="K174" s="65" t="str">
        <f t="shared" si="69"/>
        <v>7-MBFV-15/-1T0405-9</v>
      </c>
      <c r="L174" s="73">
        <v>7</v>
      </c>
      <c r="M174" s="171"/>
      <c r="N174" s="159"/>
      <c r="O174" s="71" t="s">
        <v>199</v>
      </c>
      <c r="P174" s="89"/>
    </row>
    <row r="175" spans="2:16" ht="30" customHeight="1" x14ac:dyDescent="0.45">
      <c r="B175" s="171"/>
      <c r="C175" s="89"/>
      <c r="D175" s="89"/>
      <c r="E175" s="67" t="s">
        <v>20</v>
      </c>
      <c r="F175" s="77">
        <v>4</v>
      </c>
      <c r="G175" s="77">
        <v>5</v>
      </c>
      <c r="H175" s="69" t="str">
        <f t="shared" si="52"/>
        <v>1T0405</v>
      </c>
      <c r="I175" s="65">
        <f>I174+1</f>
        <v>10</v>
      </c>
      <c r="J175" s="65" t="str">
        <f t="shared" si="68"/>
        <v>10-1T0405-/MBFV-15-8</v>
      </c>
      <c r="K175" s="65" t="str">
        <f t="shared" si="69"/>
        <v>8-MBFV-15/-1T0405-10</v>
      </c>
      <c r="L175" s="73">
        <v>8</v>
      </c>
      <c r="M175" s="171"/>
      <c r="N175" s="159"/>
      <c r="O175" s="71" t="s">
        <v>31</v>
      </c>
      <c r="P175" s="89"/>
    </row>
    <row r="176" spans="2:16" ht="30" customHeight="1" x14ac:dyDescent="0.45">
      <c r="B176" s="171"/>
      <c r="C176" s="89"/>
      <c r="D176" s="89"/>
      <c r="E176" s="67" t="s">
        <v>21</v>
      </c>
      <c r="F176" s="77" t="s">
        <v>45</v>
      </c>
      <c r="G176" s="77" t="s">
        <v>45</v>
      </c>
      <c r="H176" s="69" t="s">
        <v>45</v>
      </c>
      <c r="I176" s="65" t="s">
        <v>45</v>
      </c>
      <c r="J176" s="65" t="s">
        <v>45</v>
      </c>
      <c r="K176" s="65" t="s">
        <v>45</v>
      </c>
      <c r="L176" s="73" t="s">
        <v>45</v>
      </c>
      <c r="M176" s="171"/>
      <c r="N176" s="159"/>
      <c r="O176" s="71" t="s">
        <v>34</v>
      </c>
      <c r="P176" s="89"/>
    </row>
    <row r="177" spans="2:16" ht="30" customHeight="1" x14ac:dyDescent="0.45">
      <c r="B177" s="172"/>
      <c r="C177" s="89"/>
      <c r="D177" s="89"/>
      <c r="E177" s="67" t="s">
        <v>30</v>
      </c>
      <c r="F177" s="77" t="s">
        <v>45</v>
      </c>
      <c r="G177" s="77" t="s">
        <v>45</v>
      </c>
      <c r="H177" s="69" t="s">
        <v>45</v>
      </c>
      <c r="I177" s="65" t="s">
        <v>45</v>
      </c>
      <c r="J177" s="65" t="s">
        <v>45</v>
      </c>
      <c r="K177" s="65" t="s">
        <v>45</v>
      </c>
      <c r="L177" s="73" t="s">
        <v>45</v>
      </c>
      <c r="M177" s="172"/>
      <c r="N177" s="159"/>
      <c r="O177" s="71" t="s">
        <v>34</v>
      </c>
      <c r="P177" s="89"/>
    </row>
    <row r="178" spans="2:16" ht="30" customHeight="1" x14ac:dyDescent="0.45">
      <c r="B178" s="170">
        <f>B168+1</f>
        <v>18</v>
      </c>
      <c r="C178" s="89" t="s">
        <v>166</v>
      </c>
      <c r="D178" s="89" t="s">
        <v>200</v>
      </c>
      <c r="E178" s="67" t="s">
        <v>13</v>
      </c>
      <c r="F178" s="77">
        <v>2</v>
      </c>
      <c r="G178" s="77">
        <v>5</v>
      </c>
      <c r="H178" s="69" t="str">
        <f t="shared" si="52"/>
        <v>1T0205</v>
      </c>
      <c r="I178" s="65">
        <f>I172+1</f>
        <v>7</v>
      </c>
      <c r="J178" s="65" t="str">
        <f>CONCATENATE(I178,"-",H178,"-","/",$M$178,"-",L178)</f>
        <v>7-1T0205-/MBFV-16-42</v>
      </c>
      <c r="K178" s="65" t="str">
        <f>CONCATENATE(L178,"-",$M$178,"/","-",H178,"-",I178)</f>
        <v>42-MBFV-16/-1T0205-7</v>
      </c>
      <c r="L178" s="65">
        <v>42</v>
      </c>
      <c r="M178" s="170" t="str">
        <f>C178</f>
        <v>MBFV-16</v>
      </c>
      <c r="N178" s="159" t="s">
        <v>191</v>
      </c>
      <c r="O178" s="74" t="s">
        <v>172</v>
      </c>
      <c r="P178" s="89" t="str" cm="1">
        <f t="array" ref="P178">UPPER(
   "In PLC side, " &amp;
   _xlfn.TEXTJOIN(", ", TRUE,
      H178:INDEX(H178:H189, MATCH("COMMON",O178:O189,0)-2) &amp;
      ": " &amp;
      (I178:INDEX(I178:I189, MATCH("COMMON",O178:O189,0)-2)+1)
   ) &amp;
   " &amp; " &amp;
   INDEX(H178:H189, MATCH("COMMON",O178:O189,0)-1) &amp; ": " &amp;
   INDEX(I178:I189, MATCH("COMMON",O178:O189,0)-1)+1 &amp;
   " are already looped"
)</f>
        <v>IN PLC SIDE, 1T0205: 8, 1T0205: 10, 1T0205: 12 &amp; 1T0205: 14 ARE ALREADY LOOPED</v>
      </c>
    </row>
    <row r="179" spans="2:16" ht="30" customHeight="1" x14ac:dyDescent="0.45">
      <c r="B179" s="171"/>
      <c r="C179" s="89"/>
      <c r="D179" s="89"/>
      <c r="E179" s="67" t="s">
        <v>14</v>
      </c>
      <c r="F179" s="77">
        <v>2</v>
      </c>
      <c r="G179" s="77">
        <v>5</v>
      </c>
      <c r="H179" s="69" t="str">
        <f t="shared" si="52"/>
        <v>1T0205</v>
      </c>
      <c r="I179" s="65">
        <f>I178+2</f>
        <v>9</v>
      </c>
      <c r="J179" s="65" t="str">
        <f t="shared" ref="J179:J185" si="70">CONCATENATE(I179,"-",H179,"-","/",$M$178,"-",L179)</f>
        <v>9-1T0205-/MBFV-16-38</v>
      </c>
      <c r="K179" s="65" t="str">
        <f t="shared" ref="K179:K185" si="71">CONCATENATE(L179,"-",$M$178,"/","-",H179,"-",I179)</f>
        <v>38-MBFV-16/-1T0205-9</v>
      </c>
      <c r="L179" s="73">
        <v>38</v>
      </c>
      <c r="M179" s="171"/>
      <c r="N179" s="159"/>
      <c r="O179" s="74" t="s">
        <v>173</v>
      </c>
      <c r="P179" s="89"/>
    </row>
    <row r="180" spans="2:16" ht="30" customHeight="1" x14ac:dyDescent="0.45">
      <c r="B180" s="171"/>
      <c r="C180" s="89"/>
      <c r="D180" s="89"/>
      <c r="E180" s="67" t="s">
        <v>15</v>
      </c>
      <c r="F180" s="77">
        <v>2</v>
      </c>
      <c r="G180" s="77">
        <v>5</v>
      </c>
      <c r="H180" s="69" t="str">
        <f t="shared" si="52"/>
        <v>1T0205</v>
      </c>
      <c r="I180" s="65">
        <f>I179+2</f>
        <v>11</v>
      </c>
      <c r="J180" s="65" t="str">
        <f t="shared" si="70"/>
        <v>11-1T0205-/MBFV-16-15</v>
      </c>
      <c r="K180" s="65" t="str">
        <f t="shared" si="71"/>
        <v>15-MBFV-16/-1T0205-11</v>
      </c>
      <c r="L180" s="73">
        <v>15</v>
      </c>
      <c r="M180" s="171"/>
      <c r="N180" s="159"/>
      <c r="O180" s="74" t="s">
        <v>174</v>
      </c>
      <c r="P180" s="89"/>
    </row>
    <row r="181" spans="2:16" ht="30" customHeight="1" x14ac:dyDescent="0.45">
      <c r="B181" s="171"/>
      <c r="C181" s="89"/>
      <c r="D181" s="89"/>
      <c r="E181" s="67" t="s">
        <v>16</v>
      </c>
      <c r="F181" s="77">
        <v>2</v>
      </c>
      <c r="G181" s="77">
        <v>5</v>
      </c>
      <c r="H181" s="69" t="str">
        <f t="shared" si="52"/>
        <v>1T0205</v>
      </c>
      <c r="I181" s="65">
        <f>I180+2</f>
        <v>13</v>
      </c>
      <c r="J181" s="65" t="str">
        <f t="shared" si="70"/>
        <v>13-1T0205-/MBFV-16-19</v>
      </c>
      <c r="K181" s="65" t="str">
        <f t="shared" si="71"/>
        <v>19-MBFV-16/-1T0205-13</v>
      </c>
      <c r="L181" s="73">
        <v>19</v>
      </c>
      <c r="M181" s="171"/>
      <c r="N181" s="159"/>
      <c r="O181" s="74" t="s">
        <v>175</v>
      </c>
      <c r="P181" s="89"/>
    </row>
    <row r="182" spans="2:16" ht="30" customHeight="1" x14ac:dyDescent="0.45">
      <c r="B182" s="171"/>
      <c r="C182" s="89"/>
      <c r="D182" s="89"/>
      <c r="E182" s="67" t="s">
        <v>17</v>
      </c>
      <c r="F182" s="77">
        <v>2</v>
      </c>
      <c r="G182" s="77">
        <v>5</v>
      </c>
      <c r="H182" s="69" t="str">
        <f t="shared" si="52"/>
        <v>1T0205</v>
      </c>
      <c r="I182" s="65">
        <f>I181+1</f>
        <v>14</v>
      </c>
      <c r="J182" s="65" t="str">
        <f t="shared" si="70"/>
        <v>14-1T0205-/MBFV-16-22</v>
      </c>
      <c r="K182" s="65" t="str">
        <f t="shared" si="71"/>
        <v>22-MBFV-16/-1T0205-14</v>
      </c>
      <c r="L182" s="73">
        <v>22</v>
      </c>
      <c r="M182" s="171"/>
      <c r="N182" s="159"/>
      <c r="O182" s="71" t="s">
        <v>31</v>
      </c>
      <c r="P182" s="89"/>
    </row>
    <row r="183" spans="2:16" ht="30" customHeight="1" x14ac:dyDescent="0.45">
      <c r="B183" s="171"/>
      <c r="C183" s="89"/>
      <c r="D183" s="89"/>
      <c r="E183" s="67" t="s">
        <v>18</v>
      </c>
      <c r="F183" s="77">
        <v>4</v>
      </c>
      <c r="G183" s="77">
        <v>5</v>
      </c>
      <c r="H183" s="69" t="str">
        <f t="shared" si="52"/>
        <v>1T0405</v>
      </c>
      <c r="I183" s="65">
        <v>11</v>
      </c>
      <c r="J183" s="65" t="str">
        <f t="shared" si="70"/>
        <v>11-1T0405-/MBFV-16-5</v>
      </c>
      <c r="K183" s="65" t="str">
        <f t="shared" si="71"/>
        <v>5-MBFV-16/-1T0405-11</v>
      </c>
      <c r="L183" s="73">
        <v>5</v>
      </c>
      <c r="M183" s="171"/>
      <c r="N183" s="159"/>
      <c r="O183" s="71" t="s">
        <v>198</v>
      </c>
      <c r="P183" s="89" t="str" cm="1">
        <f t="array" ref="P183">UPPER(
   "In PLC side, " &amp;
   _xlfn.TEXTJOIN(", ", TRUE,
      H183:INDEX(H183:H187, MATCH("COMMON",O183:O187,0)-2) &amp;
      ": " &amp;
      (I183:INDEX(I183:I187, MATCH("COMMON",O183:O187,0)-2)+1)
   ) &amp;
   " &amp; " &amp;
   INDEX(H183:H187, MATCH("COMMON",O183:O187,0)-1) &amp; ": " &amp;
   INDEX(I183:I187, MATCH("COMMON",O183:O187,0)-1)+1 &amp;
   " are already looped"
)</f>
        <v>IN PLC SIDE, 1T0405: 12 &amp; 1T0405: 14 ARE ALREADY LOOPED</v>
      </c>
    </row>
    <row r="184" spans="2:16" ht="30" customHeight="1" x14ac:dyDescent="0.45">
      <c r="B184" s="171"/>
      <c r="C184" s="89"/>
      <c r="D184" s="89"/>
      <c r="E184" s="67" t="s">
        <v>19</v>
      </c>
      <c r="F184" s="77">
        <v>4</v>
      </c>
      <c r="G184" s="77">
        <v>5</v>
      </c>
      <c r="H184" s="69" t="str">
        <f t="shared" si="52"/>
        <v>1T0405</v>
      </c>
      <c r="I184" s="65">
        <f>I183+2</f>
        <v>13</v>
      </c>
      <c r="J184" s="65" t="str">
        <f t="shared" si="70"/>
        <v>13-1T0405-/MBFV-16-7</v>
      </c>
      <c r="K184" s="65" t="str">
        <f t="shared" si="71"/>
        <v>7-MBFV-16/-1T0405-13</v>
      </c>
      <c r="L184" s="73">
        <v>7</v>
      </c>
      <c r="M184" s="171"/>
      <c r="N184" s="159"/>
      <c r="O184" s="71" t="s">
        <v>199</v>
      </c>
      <c r="P184" s="89"/>
    </row>
    <row r="185" spans="2:16" ht="30" customHeight="1" x14ac:dyDescent="0.45">
      <c r="B185" s="171"/>
      <c r="C185" s="89"/>
      <c r="D185" s="89"/>
      <c r="E185" s="67" t="s">
        <v>20</v>
      </c>
      <c r="F185" s="77">
        <v>4</v>
      </c>
      <c r="G185" s="77">
        <v>5</v>
      </c>
      <c r="H185" s="69" t="str">
        <f t="shared" si="52"/>
        <v>1T0405</v>
      </c>
      <c r="I185" s="65">
        <f>I184+1</f>
        <v>14</v>
      </c>
      <c r="J185" s="65" t="str">
        <f t="shared" si="70"/>
        <v>14-1T0405-/MBFV-16-8</v>
      </c>
      <c r="K185" s="65" t="str">
        <f t="shared" si="71"/>
        <v>8-MBFV-16/-1T0405-14</v>
      </c>
      <c r="L185" s="73">
        <v>8</v>
      </c>
      <c r="M185" s="171"/>
      <c r="N185" s="159"/>
      <c r="O185" s="71" t="s">
        <v>31</v>
      </c>
      <c r="P185" s="89"/>
    </row>
    <row r="186" spans="2:16" ht="30" customHeight="1" x14ac:dyDescent="0.45">
      <c r="B186" s="171"/>
      <c r="C186" s="89"/>
      <c r="D186" s="89"/>
      <c r="E186" s="67" t="s">
        <v>21</v>
      </c>
      <c r="F186" s="77" t="s">
        <v>45</v>
      </c>
      <c r="G186" s="77" t="s">
        <v>45</v>
      </c>
      <c r="H186" s="69" t="s">
        <v>45</v>
      </c>
      <c r="I186" s="65" t="s">
        <v>45</v>
      </c>
      <c r="J186" s="65" t="s">
        <v>45</v>
      </c>
      <c r="K186" s="65" t="s">
        <v>45</v>
      </c>
      <c r="L186" s="73" t="s">
        <v>45</v>
      </c>
      <c r="M186" s="171"/>
      <c r="N186" s="159"/>
      <c r="O186" s="71" t="s">
        <v>34</v>
      </c>
      <c r="P186" s="89"/>
    </row>
    <row r="187" spans="2:16" ht="30" customHeight="1" x14ac:dyDescent="0.45">
      <c r="B187" s="172"/>
      <c r="C187" s="89"/>
      <c r="D187" s="89"/>
      <c r="E187" s="67" t="s">
        <v>30</v>
      </c>
      <c r="F187" s="77" t="s">
        <v>45</v>
      </c>
      <c r="G187" s="77" t="s">
        <v>45</v>
      </c>
      <c r="H187" s="69" t="s">
        <v>45</v>
      </c>
      <c r="I187" s="65" t="s">
        <v>45</v>
      </c>
      <c r="J187" s="65" t="s">
        <v>45</v>
      </c>
      <c r="K187" s="65" t="s">
        <v>45</v>
      </c>
      <c r="L187" s="73" t="s">
        <v>45</v>
      </c>
      <c r="M187" s="172"/>
      <c r="N187" s="159"/>
      <c r="O187" s="71" t="s">
        <v>34</v>
      </c>
      <c r="P187" s="89"/>
    </row>
    <row r="188" spans="2:16" ht="30" customHeight="1" x14ac:dyDescent="0.45">
      <c r="B188" s="170">
        <f>B178+1</f>
        <v>19</v>
      </c>
      <c r="C188" s="89" t="s">
        <v>167</v>
      </c>
      <c r="D188" s="89" t="s">
        <v>200</v>
      </c>
      <c r="E188" s="67" t="s">
        <v>13</v>
      </c>
      <c r="F188" s="77">
        <v>2</v>
      </c>
      <c r="G188" s="77">
        <v>5</v>
      </c>
      <c r="H188" s="69" t="str">
        <f t="shared" si="52"/>
        <v>1T0205</v>
      </c>
      <c r="I188" s="65">
        <f>I182+1</f>
        <v>15</v>
      </c>
      <c r="J188" s="65" t="str">
        <f>CONCATENATE(I188,"-",H188,"-","/",$M$188,"-",L188)</f>
        <v>15-1T0205-/MBFV-17-42</v>
      </c>
      <c r="K188" s="65" t="str">
        <f>CONCATENATE(L188,"-",$M$188,"/","-",H188,"-",I188)</f>
        <v>42-MBFV-17/-1T0205-15</v>
      </c>
      <c r="L188" s="65">
        <v>42</v>
      </c>
      <c r="M188" s="170" t="str">
        <f>C188</f>
        <v>MBFV-17</v>
      </c>
      <c r="N188" s="159" t="s">
        <v>192</v>
      </c>
      <c r="O188" s="74" t="s">
        <v>172</v>
      </c>
      <c r="P188" s="89" t="str" cm="1">
        <f t="array" ref="P188">UPPER(
   "In PLC side, " &amp;
   _xlfn.TEXTJOIN(", ", TRUE,
      H188:INDEX(H188:H199, MATCH("COMMON",O188:O199,0)-2) &amp;
      ": " &amp;
      (I188:INDEX(I188:I199, MATCH("COMMON",O188:O199,0)-2)+1)
   ) &amp;
   " &amp; " &amp;
   INDEX(H188:H199, MATCH("COMMON",O188:O199,0)-1) &amp; ": " &amp;
   INDEX(I188:I199, MATCH("COMMON",O188:O199,0)-1)+1 &amp;
   " are already looped"
)</f>
        <v>IN PLC SIDE, 1T0205: 16, 1T0205: 18, 1T0205: 20 &amp; 1T0205: 22 ARE ALREADY LOOPED</v>
      </c>
    </row>
    <row r="189" spans="2:16" ht="30" customHeight="1" x14ac:dyDescent="0.45">
      <c r="B189" s="171"/>
      <c r="C189" s="89"/>
      <c r="D189" s="89"/>
      <c r="E189" s="67" t="s">
        <v>14</v>
      </c>
      <c r="F189" s="77">
        <v>2</v>
      </c>
      <c r="G189" s="77">
        <v>5</v>
      </c>
      <c r="H189" s="69" t="str">
        <f t="shared" si="52"/>
        <v>1T0205</v>
      </c>
      <c r="I189" s="65">
        <f>I188+2</f>
        <v>17</v>
      </c>
      <c r="J189" s="65" t="str">
        <f t="shared" ref="J189:J195" si="72">CONCATENATE(I189,"-",H189,"-","/",$M$188,"-",L189)</f>
        <v>17-1T0205-/MBFV-17-38</v>
      </c>
      <c r="K189" s="65" t="str">
        <f t="shared" ref="K189:K195" si="73">CONCATENATE(L189,"-",$M$188,"/","-",H189,"-",I189)</f>
        <v>38-MBFV-17/-1T0205-17</v>
      </c>
      <c r="L189" s="73">
        <v>38</v>
      </c>
      <c r="M189" s="171"/>
      <c r="N189" s="159"/>
      <c r="O189" s="74" t="s">
        <v>173</v>
      </c>
      <c r="P189" s="89"/>
    </row>
    <row r="190" spans="2:16" ht="30" customHeight="1" x14ac:dyDescent="0.45">
      <c r="B190" s="171"/>
      <c r="C190" s="89"/>
      <c r="D190" s="89"/>
      <c r="E190" s="67" t="s">
        <v>15</v>
      </c>
      <c r="F190" s="77">
        <v>2</v>
      </c>
      <c r="G190" s="77">
        <v>5</v>
      </c>
      <c r="H190" s="69" t="str">
        <f t="shared" si="52"/>
        <v>1T0205</v>
      </c>
      <c r="I190" s="65">
        <f>I189+2</f>
        <v>19</v>
      </c>
      <c r="J190" s="65" t="str">
        <f t="shared" si="72"/>
        <v>19-1T0205-/MBFV-17-15</v>
      </c>
      <c r="K190" s="65" t="str">
        <f t="shared" si="73"/>
        <v>15-MBFV-17/-1T0205-19</v>
      </c>
      <c r="L190" s="73">
        <v>15</v>
      </c>
      <c r="M190" s="171"/>
      <c r="N190" s="159"/>
      <c r="O190" s="74" t="s">
        <v>174</v>
      </c>
      <c r="P190" s="89"/>
    </row>
    <row r="191" spans="2:16" ht="30" customHeight="1" x14ac:dyDescent="0.45">
      <c r="B191" s="171"/>
      <c r="C191" s="89"/>
      <c r="D191" s="89"/>
      <c r="E191" s="67" t="s">
        <v>16</v>
      </c>
      <c r="F191" s="77">
        <v>2</v>
      </c>
      <c r="G191" s="77">
        <v>5</v>
      </c>
      <c r="H191" s="69" t="str">
        <f t="shared" si="52"/>
        <v>1T0205</v>
      </c>
      <c r="I191" s="65">
        <f>I190+2</f>
        <v>21</v>
      </c>
      <c r="J191" s="65" t="str">
        <f t="shared" si="72"/>
        <v>21-1T0205-/MBFV-17-19</v>
      </c>
      <c r="K191" s="65" t="str">
        <f t="shared" si="73"/>
        <v>19-MBFV-17/-1T0205-21</v>
      </c>
      <c r="L191" s="73">
        <v>19</v>
      </c>
      <c r="M191" s="171"/>
      <c r="N191" s="159"/>
      <c r="O191" s="74" t="s">
        <v>175</v>
      </c>
      <c r="P191" s="89"/>
    </row>
    <row r="192" spans="2:16" ht="30" customHeight="1" x14ac:dyDescent="0.45">
      <c r="B192" s="171"/>
      <c r="C192" s="89"/>
      <c r="D192" s="89"/>
      <c r="E192" s="67" t="s">
        <v>17</v>
      </c>
      <c r="F192" s="77">
        <v>2</v>
      </c>
      <c r="G192" s="77">
        <v>5</v>
      </c>
      <c r="H192" s="69" t="str">
        <f t="shared" si="52"/>
        <v>1T0205</v>
      </c>
      <c r="I192" s="65">
        <f>I191+1</f>
        <v>22</v>
      </c>
      <c r="J192" s="65" t="str">
        <f t="shared" si="72"/>
        <v>22-1T0205-/MBFV-17-22</v>
      </c>
      <c r="K192" s="65" t="str">
        <f t="shared" si="73"/>
        <v>22-MBFV-17/-1T0205-22</v>
      </c>
      <c r="L192" s="73">
        <v>22</v>
      </c>
      <c r="M192" s="171"/>
      <c r="N192" s="159"/>
      <c r="O192" s="71" t="s">
        <v>31</v>
      </c>
      <c r="P192" s="89"/>
    </row>
    <row r="193" spans="2:16" ht="30" customHeight="1" x14ac:dyDescent="0.45">
      <c r="B193" s="171"/>
      <c r="C193" s="89"/>
      <c r="D193" s="89"/>
      <c r="E193" s="67" t="s">
        <v>18</v>
      </c>
      <c r="F193" s="77">
        <v>4</v>
      </c>
      <c r="G193" s="77">
        <v>5</v>
      </c>
      <c r="H193" s="69" t="str">
        <f t="shared" si="52"/>
        <v>1T0405</v>
      </c>
      <c r="I193" s="65">
        <v>15</v>
      </c>
      <c r="J193" s="65" t="str">
        <f t="shared" si="72"/>
        <v>15-1T0405-/MBFV-17-5</v>
      </c>
      <c r="K193" s="65" t="str">
        <f t="shared" si="73"/>
        <v>5-MBFV-17/-1T0405-15</v>
      </c>
      <c r="L193" s="73">
        <v>5</v>
      </c>
      <c r="M193" s="171"/>
      <c r="N193" s="159"/>
      <c r="O193" s="71" t="s">
        <v>198</v>
      </c>
      <c r="P193" s="89" t="str" cm="1">
        <f t="array" ref="P193">UPPER(
   "In PLC side, " &amp;
   _xlfn.TEXTJOIN(", ", TRUE,
      H193:INDEX(H193:H197, MATCH("COMMON",O193:O197,0)-2) &amp;
      ": " &amp;
      (I193:INDEX(I193:I197, MATCH("COMMON",O193:O197,0)-2)+1)
   ) &amp;
   " &amp; " &amp;
   INDEX(H193:H197, MATCH("COMMON",O193:O197,0)-1) &amp; ": " &amp;
   INDEX(I193:I197, MATCH("COMMON",O193:O197,0)-1)+1 &amp;
   " are already looped"
)</f>
        <v>IN PLC SIDE, 1T0405: 16 &amp; 1T0405: 18 ARE ALREADY LOOPED</v>
      </c>
    </row>
    <row r="194" spans="2:16" ht="30" customHeight="1" x14ac:dyDescent="0.45">
      <c r="B194" s="171"/>
      <c r="C194" s="89"/>
      <c r="D194" s="89"/>
      <c r="E194" s="67" t="s">
        <v>19</v>
      </c>
      <c r="F194" s="77">
        <v>4</v>
      </c>
      <c r="G194" s="77">
        <v>5</v>
      </c>
      <c r="H194" s="69" t="str">
        <f t="shared" si="52"/>
        <v>1T0405</v>
      </c>
      <c r="I194" s="65">
        <f>I193+2</f>
        <v>17</v>
      </c>
      <c r="J194" s="65" t="str">
        <f t="shared" si="72"/>
        <v>17-1T0405-/MBFV-17-7</v>
      </c>
      <c r="K194" s="65" t="str">
        <f t="shared" si="73"/>
        <v>7-MBFV-17/-1T0405-17</v>
      </c>
      <c r="L194" s="73">
        <v>7</v>
      </c>
      <c r="M194" s="171"/>
      <c r="N194" s="159"/>
      <c r="O194" s="71" t="s">
        <v>199</v>
      </c>
      <c r="P194" s="89"/>
    </row>
    <row r="195" spans="2:16" ht="30" customHeight="1" x14ac:dyDescent="0.45">
      <c r="B195" s="171"/>
      <c r="C195" s="89"/>
      <c r="D195" s="89"/>
      <c r="E195" s="67" t="s">
        <v>20</v>
      </c>
      <c r="F195" s="77">
        <v>4</v>
      </c>
      <c r="G195" s="77">
        <v>5</v>
      </c>
      <c r="H195" s="69" t="str">
        <f t="shared" si="52"/>
        <v>1T0405</v>
      </c>
      <c r="I195" s="65">
        <f>I194+1</f>
        <v>18</v>
      </c>
      <c r="J195" s="65" t="str">
        <f t="shared" si="72"/>
        <v>18-1T0405-/MBFV-17-8</v>
      </c>
      <c r="K195" s="65" t="str">
        <f t="shared" si="73"/>
        <v>8-MBFV-17/-1T0405-18</v>
      </c>
      <c r="L195" s="73">
        <v>8</v>
      </c>
      <c r="M195" s="171"/>
      <c r="N195" s="159"/>
      <c r="O195" s="71" t="s">
        <v>31</v>
      </c>
      <c r="P195" s="89"/>
    </row>
    <row r="196" spans="2:16" ht="30" customHeight="1" x14ac:dyDescent="0.45">
      <c r="B196" s="171"/>
      <c r="C196" s="89"/>
      <c r="D196" s="89"/>
      <c r="E196" s="67" t="s">
        <v>21</v>
      </c>
      <c r="F196" s="77" t="s">
        <v>45</v>
      </c>
      <c r="G196" s="77" t="s">
        <v>45</v>
      </c>
      <c r="H196" s="69" t="s">
        <v>45</v>
      </c>
      <c r="I196" s="65" t="s">
        <v>45</v>
      </c>
      <c r="J196" s="65" t="s">
        <v>45</v>
      </c>
      <c r="K196" s="65" t="s">
        <v>45</v>
      </c>
      <c r="L196" s="73" t="s">
        <v>45</v>
      </c>
      <c r="M196" s="171"/>
      <c r="N196" s="159"/>
      <c r="O196" s="71" t="s">
        <v>34</v>
      </c>
      <c r="P196" s="89"/>
    </row>
    <row r="197" spans="2:16" ht="30" customHeight="1" x14ac:dyDescent="0.45">
      <c r="B197" s="172"/>
      <c r="C197" s="89"/>
      <c r="D197" s="89"/>
      <c r="E197" s="67" t="s">
        <v>30</v>
      </c>
      <c r="F197" s="77" t="s">
        <v>45</v>
      </c>
      <c r="G197" s="77" t="s">
        <v>45</v>
      </c>
      <c r="H197" s="69" t="s">
        <v>45</v>
      </c>
      <c r="I197" s="65" t="s">
        <v>45</v>
      </c>
      <c r="J197" s="65" t="s">
        <v>45</v>
      </c>
      <c r="K197" s="65" t="s">
        <v>45</v>
      </c>
      <c r="L197" s="73" t="s">
        <v>45</v>
      </c>
      <c r="M197" s="172"/>
      <c r="N197" s="159"/>
      <c r="O197" s="71" t="s">
        <v>34</v>
      </c>
      <c r="P197" s="89"/>
    </row>
    <row r="198" spans="2:16" ht="30" customHeight="1" x14ac:dyDescent="0.45">
      <c r="B198" s="170">
        <f>B188+1</f>
        <v>20</v>
      </c>
      <c r="C198" s="89" t="s">
        <v>168</v>
      </c>
      <c r="D198" s="89" t="s">
        <v>200</v>
      </c>
      <c r="E198" s="67" t="s">
        <v>13</v>
      </c>
      <c r="F198" s="77">
        <v>2</v>
      </c>
      <c r="G198" s="77">
        <v>5</v>
      </c>
      <c r="H198" s="69" t="str">
        <f t="shared" si="52"/>
        <v>1T0205</v>
      </c>
      <c r="I198" s="65">
        <f>I192+1</f>
        <v>23</v>
      </c>
      <c r="J198" s="65" t="str">
        <f>CONCATENATE(I198,"-",H198,"-","/",$M$198,"-",L198)</f>
        <v>23-1T0205-/MBFV-18-42</v>
      </c>
      <c r="K198" s="65" t="str">
        <f>CONCATENATE(L198,"-",$M$198,"/","-",H198,"-",I198)</f>
        <v>42-MBFV-18/-1T0205-23</v>
      </c>
      <c r="L198" s="65">
        <v>42</v>
      </c>
      <c r="M198" s="170" t="str">
        <f>C198</f>
        <v>MBFV-18</v>
      </c>
      <c r="N198" s="159" t="s">
        <v>193</v>
      </c>
      <c r="O198" s="74" t="s">
        <v>172</v>
      </c>
      <c r="P198" s="89" t="str" cm="1">
        <f t="array" ref="P198">UPPER(
   "In PLC side, " &amp;
   _xlfn.TEXTJOIN(", ", TRUE,
      H198:INDEX(H198:H209, MATCH("COMMON",O198:O209,0)-2) &amp;
      ": " &amp;
      (I198:INDEX(I198:I209, MATCH("COMMON",O198:O209,0)-2)+1)
   ) &amp;
   " &amp; " &amp;
   INDEX(H198:H209, MATCH("COMMON",O198:O209,0)-1) &amp; ": " &amp;
   INDEX(I198:I209, MATCH("COMMON",O198:O209,0)-1)+1 &amp;
   " are already looped"
)</f>
        <v>IN PLC SIDE, 1T0205: 24, 1T0205: 26, 1T0206: 2 &amp; 1T0206: 4 ARE ALREADY LOOPED</v>
      </c>
    </row>
    <row r="199" spans="2:16" ht="30" customHeight="1" x14ac:dyDescent="0.45">
      <c r="B199" s="171"/>
      <c r="C199" s="89"/>
      <c r="D199" s="89"/>
      <c r="E199" s="67" t="s">
        <v>14</v>
      </c>
      <c r="F199" s="77">
        <v>2</v>
      </c>
      <c r="G199" s="77">
        <v>5</v>
      </c>
      <c r="H199" s="69" t="str">
        <f t="shared" si="52"/>
        <v>1T0205</v>
      </c>
      <c r="I199" s="65">
        <f>I198+2</f>
        <v>25</v>
      </c>
      <c r="J199" s="65" t="str">
        <f t="shared" ref="J199:J205" si="74">CONCATENATE(I199,"-",H199,"-","/",$M$198,"-",L199)</f>
        <v>25-1T0205-/MBFV-18-38</v>
      </c>
      <c r="K199" s="65" t="str">
        <f t="shared" ref="K199:K205" si="75">CONCATENATE(L199,"-",$M$198,"/","-",H199,"-",I199)</f>
        <v>38-MBFV-18/-1T0205-25</v>
      </c>
      <c r="L199" s="73">
        <v>38</v>
      </c>
      <c r="M199" s="171"/>
      <c r="N199" s="159"/>
      <c r="O199" s="74" t="s">
        <v>173</v>
      </c>
      <c r="P199" s="89"/>
    </row>
    <row r="200" spans="2:16" ht="30" customHeight="1" x14ac:dyDescent="0.45">
      <c r="B200" s="171"/>
      <c r="C200" s="89"/>
      <c r="D200" s="89"/>
      <c r="E200" s="67" t="s">
        <v>15</v>
      </c>
      <c r="F200" s="77">
        <v>2</v>
      </c>
      <c r="G200" s="77">
        <v>6</v>
      </c>
      <c r="H200" s="69" t="str">
        <f t="shared" si="52"/>
        <v>1T0206</v>
      </c>
      <c r="I200" s="65">
        <v>1</v>
      </c>
      <c r="J200" s="65" t="str">
        <f t="shared" si="74"/>
        <v>1-1T0206-/MBFV-18-15</v>
      </c>
      <c r="K200" s="65" t="str">
        <f t="shared" si="75"/>
        <v>15-MBFV-18/-1T0206-1</v>
      </c>
      <c r="L200" s="73">
        <v>15</v>
      </c>
      <c r="M200" s="171"/>
      <c r="N200" s="159"/>
      <c r="O200" s="74" t="s">
        <v>174</v>
      </c>
      <c r="P200" s="89"/>
    </row>
    <row r="201" spans="2:16" ht="30" customHeight="1" x14ac:dyDescent="0.45">
      <c r="B201" s="171"/>
      <c r="C201" s="89"/>
      <c r="D201" s="89"/>
      <c r="E201" s="67" t="s">
        <v>16</v>
      </c>
      <c r="F201" s="77">
        <v>2</v>
      </c>
      <c r="G201" s="77">
        <v>6</v>
      </c>
      <c r="H201" s="69" t="str">
        <f t="shared" ref="H201:H215" si="76">"1T"&amp;TEXT(F201,"00")&amp;TEXT(G201,"00")</f>
        <v>1T0206</v>
      </c>
      <c r="I201" s="65">
        <f>I200+2</f>
        <v>3</v>
      </c>
      <c r="J201" s="65" t="str">
        <f t="shared" si="74"/>
        <v>3-1T0206-/MBFV-18-19</v>
      </c>
      <c r="K201" s="65" t="str">
        <f t="shared" si="75"/>
        <v>19-MBFV-18/-1T0206-3</v>
      </c>
      <c r="L201" s="73">
        <v>19</v>
      </c>
      <c r="M201" s="171"/>
      <c r="N201" s="159"/>
      <c r="O201" s="74" t="s">
        <v>175</v>
      </c>
      <c r="P201" s="89"/>
    </row>
    <row r="202" spans="2:16" ht="30" customHeight="1" x14ac:dyDescent="0.45">
      <c r="B202" s="171"/>
      <c r="C202" s="89"/>
      <c r="D202" s="89"/>
      <c r="E202" s="67" t="s">
        <v>17</v>
      </c>
      <c r="F202" s="77">
        <v>2</v>
      </c>
      <c r="G202" s="77">
        <v>6</v>
      </c>
      <c r="H202" s="69" t="str">
        <f t="shared" si="76"/>
        <v>1T0206</v>
      </c>
      <c r="I202" s="65">
        <f>I201+1</f>
        <v>4</v>
      </c>
      <c r="J202" s="65" t="str">
        <f t="shared" si="74"/>
        <v>4-1T0206-/MBFV-18-22</v>
      </c>
      <c r="K202" s="65" t="str">
        <f t="shared" si="75"/>
        <v>22-MBFV-18/-1T0206-4</v>
      </c>
      <c r="L202" s="73">
        <v>22</v>
      </c>
      <c r="M202" s="171"/>
      <c r="N202" s="159"/>
      <c r="O202" s="71" t="s">
        <v>31</v>
      </c>
      <c r="P202" s="89"/>
    </row>
    <row r="203" spans="2:16" ht="30" customHeight="1" x14ac:dyDescent="0.45">
      <c r="B203" s="171"/>
      <c r="C203" s="89"/>
      <c r="D203" s="89"/>
      <c r="E203" s="67" t="s">
        <v>18</v>
      </c>
      <c r="F203" s="77">
        <v>4</v>
      </c>
      <c r="G203" s="77">
        <v>5</v>
      </c>
      <c r="H203" s="69" t="str">
        <f t="shared" si="76"/>
        <v>1T0405</v>
      </c>
      <c r="I203" s="65">
        <v>19</v>
      </c>
      <c r="J203" s="65" t="str">
        <f t="shared" si="74"/>
        <v>19-1T0405-/MBFV-18-5</v>
      </c>
      <c r="K203" s="65" t="str">
        <f t="shared" si="75"/>
        <v>5-MBFV-18/-1T0405-19</v>
      </c>
      <c r="L203" s="73">
        <v>5</v>
      </c>
      <c r="M203" s="171"/>
      <c r="N203" s="159"/>
      <c r="O203" s="71" t="s">
        <v>198</v>
      </c>
      <c r="P203" s="89" t="str" cm="1">
        <f t="array" ref="P203">UPPER(
   "In PLC side, " &amp;
   _xlfn.TEXTJOIN(", ", TRUE,
      H203:INDEX(H203:H207, MATCH("COMMON",O203:O207,0)-2) &amp;
      ": " &amp;
      (I203:INDEX(I203:I207, MATCH("COMMON",O203:O207,0)-2)+1)
   ) &amp;
   " &amp; " &amp;
   INDEX(H203:H207, MATCH("COMMON",O203:O207,0)-1) &amp; ": " &amp;
   INDEX(I203:I207, MATCH("COMMON",O203:O207,0)-1)+1 &amp;
   " are already looped"
)</f>
        <v>IN PLC SIDE, 1T0405: 20 &amp; 1T0405: 22 ARE ALREADY LOOPED</v>
      </c>
    </row>
    <row r="204" spans="2:16" ht="30" customHeight="1" x14ac:dyDescent="0.45">
      <c r="B204" s="171"/>
      <c r="C204" s="89"/>
      <c r="D204" s="89"/>
      <c r="E204" s="67" t="s">
        <v>19</v>
      </c>
      <c r="F204" s="77">
        <v>4</v>
      </c>
      <c r="G204" s="77">
        <v>5</v>
      </c>
      <c r="H204" s="69" t="str">
        <f t="shared" si="76"/>
        <v>1T0405</v>
      </c>
      <c r="I204" s="65">
        <f>I203+2</f>
        <v>21</v>
      </c>
      <c r="J204" s="65" t="str">
        <f t="shared" si="74"/>
        <v>21-1T0405-/MBFV-18-7</v>
      </c>
      <c r="K204" s="65" t="str">
        <f t="shared" si="75"/>
        <v>7-MBFV-18/-1T0405-21</v>
      </c>
      <c r="L204" s="73">
        <v>7</v>
      </c>
      <c r="M204" s="171"/>
      <c r="N204" s="159"/>
      <c r="O204" s="71" t="s">
        <v>199</v>
      </c>
      <c r="P204" s="89"/>
    </row>
    <row r="205" spans="2:16" ht="30" customHeight="1" x14ac:dyDescent="0.45">
      <c r="B205" s="171"/>
      <c r="C205" s="89"/>
      <c r="D205" s="89"/>
      <c r="E205" s="67" t="s">
        <v>20</v>
      </c>
      <c r="F205" s="77">
        <v>4</v>
      </c>
      <c r="G205" s="77">
        <v>5</v>
      </c>
      <c r="H205" s="69" t="str">
        <f t="shared" si="76"/>
        <v>1T0405</v>
      </c>
      <c r="I205" s="65">
        <f>I204+1</f>
        <v>22</v>
      </c>
      <c r="J205" s="65" t="str">
        <f t="shared" si="74"/>
        <v>22-1T0405-/MBFV-18-8</v>
      </c>
      <c r="K205" s="65" t="str">
        <f t="shared" si="75"/>
        <v>8-MBFV-18/-1T0405-22</v>
      </c>
      <c r="L205" s="73">
        <v>8</v>
      </c>
      <c r="M205" s="171"/>
      <c r="N205" s="159"/>
      <c r="O205" s="71" t="s">
        <v>31</v>
      </c>
      <c r="P205" s="89"/>
    </row>
    <row r="206" spans="2:16" ht="30" customHeight="1" x14ac:dyDescent="0.45">
      <c r="B206" s="171"/>
      <c r="C206" s="89"/>
      <c r="D206" s="89"/>
      <c r="E206" s="67" t="s">
        <v>21</v>
      </c>
      <c r="F206" s="77" t="s">
        <v>45</v>
      </c>
      <c r="G206" s="77" t="s">
        <v>45</v>
      </c>
      <c r="H206" s="69" t="s">
        <v>45</v>
      </c>
      <c r="I206" s="65" t="s">
        <v>45</v>
      </c>
      <c r="J206" s="65" t="s">
        <v>45</v>
      </c>
      <c r="K206" s="65" t="s">
        <v>45</v>
      </c>
      <c r="L206" s="73" t="s">
        <v>45</v>
      </c>
      <c r="M206" s="171"/>
      <c r="N206" s="159"/>
      <c r="O206" s="71" t="s">
        <v>34</v>
      </c>
      <c r="P206" s="89"/>
    </row>
    <row r="207" spans="2:16" ht="30" customHeight="1" x14ac:dyDescent="0.45">
      <c r="B207" s="172"/>
      <c r="C207" s="89"/>
      <c r="D207" s="89"/>
      <c r="E207" s="67" t="s">
        <v>30</v>
      </c>
      <c r="F207" s="77" t="s">
        <v>45</v>
      </c>
      <c r="G207" s="77" t="s">
        <v>45</v>
      </c>
      <c r="H207" s="69" t="s">
        <v>45</v>
      </c>
      <c r="I207" s="65" t="s">
        <v>45</v>
      </c>
      <c r="J207" s="65" t="s">
        <v>45</v>
      </c>
      <c r="K207" s="65" t="s">
        <v>45</v>
      </c>
      <c r="L207" s="73" t="s">
        <v>45</v>
      </c>
      <c r="M207" s="172"/>
      <c r="N207" s="159"/>
      <c r="O207" s="71" t="s">
        <v>34</v>
      </c>
      <c r="P207" s="89"/>
    </row>
    <row r="208" spans="2:16" ht="30" customHeight="1" x14ac:dyDescent="0.45">
      <c r="B208" s="170">
        <f>B198+1</f>
        <v>21</v>
      </c>
      <c r="C208" s="89" t="s">
        <v>169</v>
      </c>
      <c r="D208" s="89" t="s">
        <v>200</v>
      </c>
      <c r="E208" s="67" t="s">
        <v>13</v>
      </c>
      <c r="F208" s="77">
        <v>2</v>
      </c>
      <c r="G208" s="77">
        <v>6</v>
      </c>
      <c r="H208" s="69" t="str">
        <f>"1T"&amp;TEXT(F208,"00")&amp;TEXT(G209,"00")</f>
        <v>1T0206</v>
      </c>
      <c r="I208" s="65">
        <f>I202+1</f>
        <v>5</v>
      </c>
      <c r="J208" s="65" t="str">
        <f>CONCATENATE(I208,"-",H208,"-","/",$M$208,"-",L208)</f>
        <v>5-1T0206-/MBFV-19-42</v>
      </c>
      <c r="K208" s="65" t="str">
        <f>CONCATENATE(L208,"-",$M$208,"/","-",H208,"-",I208)</f>
        <v>42-MBFV-19/-1T0206-5</v>
      </c>
      <c r="L208" s="65">
        <v>42</v>
      </c>
      <c r="M208" s="170" t="str">
        <f>C208</f>
        <v>MBFV-19</v>
      </c>
      <c r="N208" s="159" t="s">
        <v>194</v>
      </c>
      <c r="O208" s="74" t="s">
        <v>172</v>
      </c>
      <c r="P208" s="89" t="str" cm="1">
        <f t="array" ref="P208">UPPER(
   "In PLC side, " &amp;
   _xlfn.TEXTJOIN(", ", TRUE,
      H208:INDEX(H208:H219, MATCH("COMMON",O208:O219,0)-2) &amp;
      ": " &amp;
      (I208:INDEX(I208:I219, MATCH("COMMON",O208:O219,0)-2)+1)
   ) &amp;
   " &amp; " &amp;
   INDEX(H208:H219, MATCH("COMMON",O208:O219,0)-1) &amp; ": " &amp;
   INDEX(I208:I219, MATCH("COMMON",O208:O219,0)-1)+1 &amp;
   " are already looped"
)</f>
        <v>IN PLC SIDE, 1T0206: 6, 1T0206: 8, 1T0206: 10 &amp; 1T0206: 12 ARE ALREADY LOOPED</v>
      </c>
    </row>
    <row r="209" spans="2:17" ht="30" customHeight="1" x14ac:dyDescent="0.45">
      <c r="B209" s="171"/>
      <c r="C209" s="89"/>
      <c r="D209" s="89"/>
      <c r="E209" s="67" t="s">
        <v>14</v>
      </c>
      <c r="F209" s="77">
        <v>2</v>
      </c>
      <c r="G209" s="77">
        <v>6</v>
      </c>
      <c r="H209" s="69" t="str">
        <f>"1T"&amp;TEXT(F209,"00")&amp;TEXT(G210,"00")</f>
        <v>1T0206</v>
      </c>
      <c r="I209" s="65">
        <f>I208+2</f>
        <v>7</v>
      </c>
      <c r="J209" s="65" t="str">
        <f t="shared" ref="J209:J215" si="77">CONCATENATE(I209,"-",H209,"-","/",$M$208,"-",L209)</f>
        <v>7-1T0206-/MBFV-19-38</v>
      </c>
      <c r="K209" s="65" t="str">
        <f t="shared" ref="K209:K215" si="78">CONCATENATE(L209,"-",$M$208,"/","-",H209,"-",I209)</f>
        <v>38-MBFV-19/-1T0206-7</v>
      </c>
      <c r="L209" s="73">
        <v>38</v>
      </c>
      <c r="M209" s="171"/>
      <c r="N209" s="159"/>
      <c r="O209" s="74" t="s">
        <v>173</v>
      </c>
      <c r="P209" s="89"/>
    </row>
    <row r="210" spans="2:17" ht="30" customHeight="1" x14ac:dyDescent="0.45">
      <c r="B210" s="171"/>
      <c r="C210" s="89"/>
      <c r="D210" s="89"/>
      <c r="E210" s="67" t="s">
        <v>15</v>
      </c>
      <c r="F210" s="77">
        <v>2</v>
      </c>
      <c r="G210" s="77">
        <v>6</v>
      </c>
      <c r="H210" s="69" t="str">
        <f>"1T"&amp;TEXT(F210,"00")&amp;TEXT(G211,"00")</f>
        <v>1T0206</v>
      </c>
      <c r="I210" s="65">
        <f>I209+2</f>
        <v>9</v>
      </c>
      <c r="J210" s="65" t="str">
        <f t="shared" si="77"/>
        <v>9-1T0206-/MBFV-19-15</v>
      </c>
      <c r="K210" s="65" t="str">
        <f t="shared" si="78"/>
        <v>15-MBFV-19/-1T0206-9</v>
      </c>
      <c r="L210" s="73">
        <v>15</v>
      </c>
      <c r="M210" s="171"/>
      <c r="N210" s="159"/>
      <c r="O210" s="74" t="s">
        <v>174</v>
      </c>
      <c r="P210" s="89"/>
      <c r="Q210" s="173"/>
    </row>
    <row r="211" spans="2:17" ht="30" customHeight="1" x14ac:dyDescent="0.45">
      <c r="B211" s="171"/>
      <c r="C211" s="89"/>
      <c r="D211" s="89"/>
      <c r="E211" s="67" t="s">
        <v>16</v>
      </c>
      <c r="F211" s="77">
        <v>2</v>
      </c>
      <c r="G211" s="77">
        <v>6</v>
      </c>
      <c r="H211" s="69" t="str">
        <f>"1T"&amp;TEXT(F211,"00")&amp;TEXT(G212,"00")</f>
        <v>1T0206</v>
      </c>
      <c r="I211" s="65">
        <f>I210+2</f>
        <v>11</v>
      </c>
      <c r="J211" s="65" t="str">
        <f t="shared" si="77"/>
        <v>11-1T0206-/MBFV-19-19</v>
      </c>
      <c r="K211" s="65" t="str">
        <f t="shared" si="78"/>
        <v>19-MBFV-19/-1T0206-11</v>
      </c>
      <c r="L211" s="73">
        <v>19</v>
      </c>
      <c r="M211" s="171"/>
      <c r="N211" s="159"/>
      <c r="O211" s="74" t="s">
        <v>175</v>
      </c>
      <c r="P211" s="89"/>
      <c r="Q211" s="173"/>
    </row>
    <row r="212" spans="2:17" ht="30" customHeight="1" x14ac:dyDescent="0.45">
      <c r="B212" s="171"/>
      <c r="C212" s="89"/>
      <c r="D212" s="89"/>
      <c r="E212" s="67" t="s">
        <v>17</v>
      </c>
      <c r="F212" s="77">
        <v>2</v>
      </c>
      <c r="G212" s="77">
        <v>6</v>
      </c>
      <c r="H212" s="69" t="str">
        <f>"1T"&amp;TEXT(F212,"00")&amp;TEXT(G213,"00")</f>
        <v>1T0205</v>
      </c>
      <c r="I212" s="65">
        <f>I211+1</f>
        <v>12</v>
      </c>
      <c r="J212" s="65" t="str">
        <f t="shared" si="77"/>
        <v>12-1T0205-/MBFV-19-22</v>
      </c>
      <c r="K212" s="65" t="str">
        <f t="shared" si="78"/>
        <v>22-MBFV-19/-1T0205-12</v>
      </c>
      <c r="L212" s="73">
        <v>22</v>
      </c>
      <c r="M212" s="171"/>
      <c r="N212" s="159"/>
      <c r="O212" s="71" t="s">
        <v>31</v>
      </c>
      <c r="P212" s="89"/>
      <c r="Q212" s="173"/>
    </row>
    <row r="213" spans="2:17" ht="30" customHeight="1" x14ac:dyDescent="0.45">
      <c r="B213" s="171"/>
      <c r="C213" s="89"/>
      <c r="D213" s="89"/>
      <c r="E213" s="67" t="s">
        <v>18</v>
      </c>
      <c r="F213" s="77">
        <v>4</v>
      </c>
      <c r="G213" s="77">
        <v>5</v>
      </c>
      <c r="H213" s="69" t="str">
        <f t="shared" si="76"/>
        <v>1T0405</v>
      </c>
      <c r="I213" s="65">
        <v>23</v>
      </c>
      <c r="J213" s="65" t="str">
        <f t="shared" si="77"/>
        <v>23-1T0405-/MBFV-19-5</v>
      </c>
      <c r="K213" s="65" t="str">
        <f t="shared" si="78"/>
        <v>5-MBFV-19/-1T0405-23</v>
      </c>
      <c r="L213" s="73">
        <v>5</v>
      </c>
      <c r="M213" s="171"/>
      <c r="N213" s="159"/>
      <c r="O213" s="71" t="s">
        <v>198</v>
      </c>
      <c r="P213" s="89" t="str" cm="1">
        <f t="array" ref="P213">UPPER(
   "In PLC side, " &amp;
   _xlfn.TEXTJOIN(", ", TRUE,
      H213:INDEX(H213:H217, MATCH("COMMON",O213:O217,0)-2) &amp;
      ": " &amp;
      (I213:INDEX(I213:I217, MATCH("COMMON",O213:O217,0)-2)+1)
   ) &amp;
   " &amp; " &amp;
   INDEX(H213:H217, MATCH("COMMON",O213:O217,0)-1) &amp; ": " &amp;
   INDEX(I213:I217, MATCH("COMMON",O213:O217,0)-1)+1 &amp;
   " are already looped"
)</f>
        <v>IN PLC SIDE, 1T0405: 24 &amp; 1T0405: 26 ARE ALREADY LOOPED</v>
      </c>
      <c r="Q213" s="173"/>
    </row>
    <row r="214" spans="2:17" ht="30" customHeight="1" x14ac:dyDescent="0.45">
      <c r="B214" s="171"/>
      <c r="C214" s="89"/>
      <c r="D214" s="89"/>
      <c r="E214" s="67" t="s">
        <v>19</v>
      </c>
      <c r="F214" s="77">
        <v>4</v>
      </c>
      <c r="G214" s="77">
        <v>5</v>
      </c>
      <c r="H214" s="69" t="str">
        <f t="shared" si="76"/>
        <v>1T0405</v>
      </c>
      <c r="I214" s="65">
        <f>I213+2</f>
        <v>25</v>
      </c>
      <c r="J214" s="65" t="str">
        <f t="shared" si="77"/>
        <v>25-1T0405-/MBFV-19-7</v>
      </c>
      <c r="K214" s="65" t="str">
        <f t="shared" si="78"/>
        <v>7-MBFV-19/-1T0405-25</v>
      </c>
      <c r="L214" s="73">
        <v>7</v>
      </c>
      <c r="M214" s="171"/>
      <c r="N214" s="159"/>
      <c r="O214" s="71" t="s">
        <v>199</v>
      </c>
      <c r="P214" s="89"/>
      <c r="Q214" s="173"/>
    </row>
    <row r="215" spans="2:17" ht="30" customHeight="1" x14ac:dyDescent="0.45">
      <c r="B215" s="171"/>
      <c r="C215" s="89"/>
      <c r="D215" s="89"/>
      <c r="E215" s="67" t="s">
        <v>20</v>
      </c>
      <c r="F215" s="77">
        <v>4</v>
      </c>
      <c r="G215" s="77">
        <v>5</v>
      </c>
      <c r="H215" s="69" t="str">
        <f t="shared" si="76"/>
        <v>1T0405</v>
      </c>
      <c r="I215" s="65">
        <f>I214+1</f>
        <v>26</v>
      </c>
      <c r="J215" s="65" t="str">
        <f t="shared" si="77"/>
        <v>26-1T0405-/MBFV-19-8</v>
      </c>
      <c r="K215" s="65" t="str">
        <f t="shared" si="78"/>
        <v>8-MBFV-19/-1T0405-26</v>
      </c>
      <c r="L215" s="73">
        <v>8</v>
      </c>
      <c r="M215" s="171"/>
      <c r="N215" s="159"/>
      <c r="O215" s="71" t="s">
        <v>31</v>
      </c>
      <c r="P215" s="89"/>
      <c r="Q215" s="173"/>
    </row>
    <row r="216" spans="2:17" ht="30" customHeight="1" x14ac:dyDescent="0.45">
      <c r="B216" s="171"/>
      <c r="C216" s="89"/>
      <c r="D216" s="89"/>
      <c r="E216" s="67" t="s">
        <v>21</v>
      </c>
      <c r="F216" s="77" t="s">
        <v>45</v>
      </c>
      <c r="G216" s="77" t="s">
        <v>45</v>
      </c>
      <c r="H216" s="69" t="s">
        <v>45</v>
      </c>
      <c r="I216" s="65" t="s">
        <v>45</v>
      </c>
      <c r="J216" s="65" t="s">
        <v>45</v>
      </c>
      <c r="K216" s="65" t="s">
        <v>45</v>
      </c>
      <c r="L216" s="73" t="s">
        <v>45</v>
      </c>
      <c r="M216" s="171"/>
      <c r="N216" s="159"/>
      <c r="O216" s="71" t="s">
        <v>34</v>
      </c>
      <c r="P216" s="89"/>
      <c r="Q216" s="173"/>
    </row>
    <row r="217" spans="2:17" ht="30" customHeight="1" x14ac:dyDescent="0.45">
      <c r="B217" s="172"/>
      <c r="C217" s="89"/>
      <c r="D217" s="89"/>
      <c r="E217" s="67" t="s">
        <v>30</v>
      </c>
      <c r="F217" s="77" t="s">
        <v>45</v>
      </c>
      <c r="G217" s="77" t="s">
        <v>45</v>
      </c>
      <c r="H217" s="69" t="s">
        <v>45</v>
      </c>
      <c r="I217" s="65" t="s">
        <v>45</v>
      </c>
      <c r="J217" s="65" t="s">
        <v>45</v>
      </c>
      <c r="K217" s="65" t="s">
        <v>45</v>
      </c>
      <c r="L217" s="73" t="s">
        <v>45</v>
      </c>
      <c r="M217" s="172"/>
      <c r="N217" s="159"/>
      <c r="O217" s="71" t="s">
        <v>34</v>
      </c>
      <c r="P217" s="89"/>
      <c r="Q217" s="173"/>
    </row>
    <row r="218" spans="2:17" ht="49.05" customHeight="1" x14ac:dyDescent="0.45">
      <c r="B218" s="90" t="s">
        <v>92</v>
      </c>
      <c r="C218" s="90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</row>
  </sheetData>
  <mergeCells count="165">
    <mergeCell ref="P208:P212"/>
    <mergeCell ref="P213:P217"/>
    <mergeCell ref="P153:P157"/>
    <mergeCell ref="P168:P172"/>
    <mergeCell ref="P173:P177"/>
    <mergeCell ref="P178:P182"/>
    <mergeCell ref="P183:P187"/>
    <mergeCell ref="P188:P192"/>
    <mergeCell ref="P193:P197"/>
    <mergeCell ref="P198:P202"/>
    <mergeCell ref="P203:P207"/>
    <mergeCell ref="M188:M197"/>
    <mergeCell ref="N188:N197"/>
    <mergeCell ref="B218:P218"/>
    <mergeCell ref="B158:B167"/>
    <mergeCell ref="P158:P162"/>
    <mergeCell ref="P163:P167"/>
    <mergeCell ref="P18:P22"/>
    <mergeCell ref="P28:P32"/>
    <mergeCell ref="P33:P37"/>
    <mergeCell ref="P38:P42"/>
    <mergeCell ref="P63:P67"/>
    <mergeCell ref="P108:P112"/>
    <mergeCell ref="P113:P117"/>
    <mergeCell ref="P118:P122"/>
    <mergeCell ref="P123:P127"/>
    <mergeCell ref="P128:P132"/>
    <mergeCell ref="C48:C57"/>
    <mergeCell ref="D48:D57"/>
    <mergeCell ref="B108:B117"/>
    <mergeCell ref="C108:C117"/>
    <mergeCell ref="D108:D117"/>
    <mergeCell ref="M108:M117"/>
    <mergeCell ref="N108:N117"/>
    <mergeCell ref="M118:M127"/>
    <mergeCell ref="B118:B127"/>
    <mergeCell ref="C118:C127"/>
    <mergeCell ref="D118:D127"/>
    <mergeCell ref="B88:B97"/>
    <mergeCell ref="C88:C97"/>
    <mergeCell ref="B78:B87"/>
    <mergeCell ref="C78:C87"/>
    <mergeCell ref="D78:D87"/>
    <mergeCell ref="M78:M87"/>
    <mergeCell ref="D98:D107"/>
    <mergeCell ref="M98:M107"/>
    <mergeCell ref="D88:D97"/>
    <mergeCell ref="M88:M97"/>
    <mergeCell ref="B98:B107"/>
    <mergeCell ref="C98:C107"/>
    <mergeCell ref="B68:B77"/>
    <mergeCell ref="C68:C77"/>
    <mergeCell ref="D68:D77"/>
    <mergeCell ref="M68:M77"/>
    <mergeCell ref="B28:B37"/>
    <mergeCell ref="C28:C37"/>
    <mergeCell ref="D28:D37"/>
    <mergeCell ref="B38:B47"/>
    <mergeCell ref="C38:C47"/>
    <mergeCell ref="D38:D47"/>
    <mergeCell ref="M38:M47"/>
    <mergeCell ref="C8:C17"/>
    <mergeCell ref="D8:D17"/>
    <mergeCell ref="M28:M37"/>
    <mergeCell ref="B48:B57"/>
    <mergeCell ref="M8:M17"/>
    <mergeCell ref="N8:N17"/>
    <mergeCell ref="B58:B67"/>
    <mergeCell ref="C58:C67"/>
    <mergeCell ref="D58:D67"/>
    <mergeCell ref="M58:M67"/>
    <mergeCell ref="N38:N47"/>
    <mergeCell ref="H2:N2"/>
    <mergeCell ref="M18:M27"/>
    <mergeCell ref="P23:P27"/>
    <mergeCell ref="H3:N3"/>
    <mergeCell ref="C3:G3"/>
    <mergeCell ref="O2:P2"/>
    <mergeCell ref="O3:P3"/>
    <mergeCell ref="O4:P4"/>
    <mergeCell ref="H4:N4"/>
    <mergeCell ref="B2:G2"/>
    <mergeCell ref="B4:G4"/>
    <mergeCell ref="P8:P12"/>
    <mergeCell ref="P13:P17"/>
    <mergeCell ref="B7:P7"/>
    <mergeCell ref="B5:B6"/>
    <mergeCell ref="C5:I5"/>
    <mergeCell ref="J5:J6"/>
    <mergeCell ref="K5:K6"/>
    <mergeCell ref="L5:O5"/>
    <mergeCell ref="P5:P6"/>
    <mergeCell ref="B18:B27"/>
    <mergeCell ref="C18:C27"/>
    <mergeCell ref="D18:D27"/>
    <mergeCell ref="B8:B17"/>
    <mergeCell ref="P68:P72"/>
    <mergeCell ref="P73:P77"/>
    <mergeCell ref="P78:P82"/>
    <mergeCell ref="P83:P87"/>
    <mergeCell ref="P58:P62"/>
    <mergeCell ref="M48:M57"/>
    <mergeCell ref="N48:N57"/>
    <mergeCell ref="N18:N27"/>
    <mergeCell ref="P88:P92"/>
    <mergeCell ref="P43:P47"/>
    <mergeCell ref="N28:N37"/>
    <mergeCell ref="N58:N67"/>
    <mergeCell ref="P48:P52"/>
    <mergeCell ref="P53:P57"/>
    <mergeCell ref="N78:N87"/>
    <mergeCell ref="N68:N77"/>
    <mergeCell ref="P93:P97"/>
    <mergeCell ref="P98:P102"/>
    <mergeCell ref="P103:P107"/>
    <mergeCell ref="N138:N147"/>
    <mergeCell ref="N118:N127"/>
    <mergeCell ref="N98:N107"/>
    <mergeCell ref="N88:N97"/>
    <mergeCell ref="P133:P137"/>
    <mergeCell ref="P138:P142"/>
    <mergeCell ref="P143:P147"/>
    <mergeCell ref="B168:B177"/>
    <mergeCell ref="N128:N137"/>
    <mergeCell ref="M138:M147"/>
    <mergeCell ref="D138:D147"/>
    <mergeCell ref="C138:C147"/>
    <mergeCell ref="B138:B147"/>
    <mergeCell ref="B128:B137"/>
    <mergeCell ref="C128:C137"/>
    <mergeCell ref="D128:D137"/>
    <mergeCell ref="M128:M137"/>
    <mergeCell ref="N158:N167"/>
    <mergeCell ref="C158:C167"/>
    <mergeCell ref="D158:D167"/>
    <mergeCell ref="M158:M167"/>
    <mergeCell ref="N148:N157"/>
    <mergeCell ref="M148:M157"/>
    <mergeCell ref="D148:D157"/>
    <mergeCell ref="C148:C157"/>
    <mergeCell ref="B148:B157"/>
    <mergeCell ref="P148:P152"/>
    <mergeCell ref="B198:B207"/>
    <mergeCell ref="C198:C207"/>
    <mergeCell ref="D198:D207"/>
    <mergeCell ref="Q210:Q217"/>
    <mergeCell ref="M198:M207"/>
    <mergeCell ref="N198:N207"/>
    <mergeCell ref="B208:B217"/>
    <mergeCell ref="C208:C217"/>
    <mergeCell ref="D208:D217"/>
    <mergeCell ref="M208:M217"/>
    <mergeCell ref="N208:N217"/>
    <mergeCell ref="B178:B187"/>
    <mergeCell ref="C178:C187"/>
    <mergeCell ref="D178:D187"/>
    <mergeCell ref="M178:M187"/>
    <mergeCell ref="N178:N187"/>
    <mergeCell ref="B188:B197"/>
    <mergeCell ref="C188:C197"/>
    <mergeCell ref="D188:D197"/>
    <mergeCell ref="N168:N177"/>
    <mergeCell ref="M168:M177"/>
    <mergeCell ref="D168:D177"/>
    <mergeCell ref="C168:C177"/>
  </mergeCells>
  <phoneticPr fontId="6" type="noConversion"/>
  <printOptions horizontalCentered="1"/>
  <pageMargins left="0.25" right="0.25" top="0.75" bottom="0.75" header="0.3" footer="0.3"/>
  <pageSetup paperSize="8" scale="38" fitToHeight="0" orientation="landscape" r:id="rId1"/>
  <headerFooter>
    <oddFooter>&amp;L&amp;1#&amp;"Calibri,Regular"&amp;8&amp;K000000Sensitivity: LNT Construction Internal Use&amp;CPage &amp;P-1 of &amp;N-1&amp;R&amp;8Designed by: GP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Q356"/>
  <sheetViews>
    <sheetView view="pageBreakPreview" zoomScale="40" zoomScaleNormal="85" zoomScaleSheetLayoutView="40" zoomScalePageLayoutView="78" workbookViewId="0">
      <selection activeCell="Q15" sqref="Q15:Q19"/>
    </sheetView>
  </sheetViews>
  <sheetFormatPr defaultColWidth="9.21875" defaultRowHeight="23.4" x14ac:dyDescent="0.45"/>
  <cols>
    <col min="1" max="1" width="2.77734375" style="2" customWidth="1"/>
    <col min="2" max="2" width="12.88671875" style="66" bestFit="1" customWidth="1"/>
    <col min="3" max="3" width="42.33203125" style="66" customWidth="1"/>
    <col min="4" max="4" width="45" style="66" customWidth="1"/>
    <col min="5" max="5" width="10.6640625" style="66" bestFit="1" customWidth="1"/>
    <col min="6" max="6" width="17.5546875" style="66" customWidth="1"/>
    <col min="7" max="7" width="15.44140625" style="66" customWidth="1"/>
    <col min="8" max="8" width="22.33203125" style="78" customWidth="1"/>
    <col min="9" max="9" width="20.109375" style="66" bestFit="1" customWidth="1"/>
    <col min="10" max="10" width="40.44140625" style="66" customWidth="1"/>
    <col min="11" max="11" width="25.109375" style="66" customWidth="1"/>
    <col min="12" max="12" width="28.44140625" style="66" customWidth="1"/>
    <col min="13" max="13" width="48.44140625" style="66" customWidth="1"/>
    <col min="14" max="14" width="36.44140625" style="79" customWidth="1"/>
    <col min="15" max="15" width="46" style="66" bestFit="1" customWidth="1"/>
    <col min="16" max="16" width="62.109375" style="66" bestFit="1" customWidth="1"/>
    <col min="17" max="17" width="50.77734375" style="66" customWidth="1"/>
    <col min="18" max="16384" width="9.21875" style="2"/>
  </cols>
  <sheetData>
    <row r="1" spans="2:17" ht="15.6" x14ac:dyDescent="0.3"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4"/>
      <c r="O1" s="2"/>
      <c r="P1" s="2"/>
      <c r="Q1" s="2"/>
    </row>
    <row r="2" spans="2:17" s="5" customFormat="1" ht="90" customHeight="1" x14ac:dyDescent="0.3">
      <c r="B2" s="82" t="s">
        <v>46</v>
      </c>
      <c r="C2" s="82"/>
      <c r="D2" s="82"/>
      <c r="E2" s="82"/>
      <c r="F2" s="82"/>
      <c r="G2" s="82"/>
      <c r="H2" s="82" t="str">
        <f>Cover!B54&amp;" "&amp;Cover!B55</f>
        <v>PROJECT: DESIGN AND CONSTRUCTION FOR DHANKI TO TOKRALA (UPTO NATIONAL HIGHWAY CROSSING) BULK PIPELINE 45 KMS INCLUDING CONSTRUCTION OF RCC U/G SUMP, PUMP HOUSE, SITC OF PUMPING MACHINERY AND ANCILLARY WORKS AT DHANKI PUMPING STATION WITH 10 YEARS COMPREHENSIVE OPERATION &amp; MAINTENANCE UNDER DHANKI TO NAVDA PIPELINE PROJECT (PACKAGE NO-1 NC 42)</v>
      </c>
      <c r="I2" s="82"/>
      <c r="J2" s="82"/>
      <c r="K2" s="82"/>
      <c r="L2" s="82"/>
      <c r="M2" s="82"/>
      <c r="N2" s="82"/>
      <c r="O2" s="82" t="s">
        <v>0</v>
      </c>
      <c r="P2" s="82"/>
      <c r="Q2" s="82"/>
    </row>
    <row r="3" spans="2:17" s="5" customFormat="1" ht="60" customHeight="1" x14ac:dyDescent="0.3">
      <c r="B3" s="61" t="s">
        <v>48</v>
      </c>
      <c r="C3" s="82" t="str">
        <f>Cover!$B$51</f>
        <v>GUJARAT WATER INFRASTRUCTURE LIMITED (GWIL), GANDHINAGAR</v>
      </c>
      <c r="D3" s="82"/>
      <c r="E3" s="82"/>
      <c r="F3" s="82"/>
      <c r="G3" s="82"/>
      <c r="H3" s="82" t="s">
        <v>119</v>
      </c>
      <c r="I3" s="82"/>
      <c r="J3" s="82"/>
      <c r="K3" s="82"/>
      <c r="L3" s="82"/>
      <c r="M3" s="82"/>
      <c r="N3" s="82"/>
      <c r="O3" s="82" t="s">
        <v>22</v>
      </c>
      <c r="P3" s="82"/>
      <c r="Q3" s="82"/>
    </row>
    <row r="4" spans="2:17" s="5" customFormat="1" ht="60" customHeight="1" x14ac:dyDescent="0.3">
      <c r="B4" s="85" t="s">
        <v>47</v>
      </c>
      <c r="C4" s="85"/>
      <c r="D4" s="85"/>
      <c r="E4" s="85"/>
      <c r="F4" s="85"/>
      <c r="G4" s="85"/>
      <c r="H4" s="84" t="str">
        <f>"DOCUMENT NO: "&amp;_xlfn.CONCAT(Cover!D65:AA65)</f>
        <v>DOCUMENT NO: LE22M232-I-WS-RW-CI-5010</v>
      </c>
      <c r="I4" s="84"/>
      <c r="J4" s="84"/>
      <c r="K4" s="84"/>
      <c r="L4" s="84"/>
      <c r="M4" s="84"/>
      <c r="N4" s="84"/>
      <c r="O4" s="158">
        <f>Cover!B45</f>
        <v>46023</v>
      </c>
      <c r="P4" s="82"/>
      <c r="Q4" s="82"/>
    </row>
    <row r="5" spans="2:17" s="5" customFormat="1" ht="30" customHeight="1" x14ac:dyDescent="0.3">
      <c r="B5" s="83" t="s">
        <v>32</v>
      </c>
      <c r="C5" s="84" t="s">
        <v>50</v>
      </c>
      <c r="D5" s="84"/>
      <c r="E5" s="84"/>
      <c r="F5" s="84"/>
      <c r="G5" s="84"/>
      <c r="H5" s="84"/>
      <c r="I5" s="84"/>
      <c r="J5" s="82" t="s">
        <v>107</v>
      </c>
      <c r="K5" s="84" t="s">
        <v>26</v>
      </c>
      <c r="L5" s="84"/>
      <c r="M5" s="82" t="s">
        <v>112</v>
      </c>
      <c r="N5" s="84" t="s">
        <v>53</v>
      </c>
      <c r="O5" s="84"/>
      <c r="P5" s="84"/>
      <c r="Q5" s="83" t="s">
        <v>51</v>
      </c>
    </row>
    <row r="6" spans="2:17" s="5" customFormat="1" ht="60" customHeight="1" x14ac:dyDescent="0.3">
      <c r="B6" s="83"/>
      <c r="C6" s="63" t="s">
        <v>4</v>
      </c>
      <c r="D6" s="63" t="s">
        <v>3</v>
      </c>
      <c r="E6" s="63" t="s">
        <v>27</v>
      </c>
      <c r="F6" s="63" t="s">
        <v>321</v>
      </c>
      <c r="G6" s="62" t="s">
        <v>322</v>
      </c>
      <c r="H6" s="63" t="s">
        <v>35</v>
      </c>
      <c r="I6" s="63" t="s">
        <v>36</v>
      </c>
      <c r="J6" s="84"/>
      <c r="K6" s="63" t="s">
        <v>28</v>
      </c>
      <c r="L6" s="63" t="s">
        <v>6</v>
      </c>
      <c r="M6" s="84"/>
      <c r="N6" s="63" t="s">
        <v>23</v>
      </c>
      <c r="O6" s="63" t="s">
        <v>29</v>
      </c>
      <c r="P6" s="63" t="s">
        <v>25</v>
      </c>
      <c r="Q6" s="83"/>
    </row>
    <row r="7" spans="2:17" ht="30" customHeight="1" x14ac:dyDescent="0.3">
      <c r="B7" s="177" t="s">
        <v>95</v>
      </c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2:17" ht="30" customHeight="1" x14ac:dyDescent="0.3">
      <c r="B8" s="87">
        <v>1</v>
      </c>
      <c r="C8" s="159" t="str">
        <f>N8&amp;" - PLC"</f>
        <v>VTP-01/HT - PLC</v>
      </c>
      <c r="D8" s="89" t="s">
        <v>201</v>
      </c>
      <c r="E8" s="67" t="s">
        <v>13</v>
      </c>
      <c r="F8" s="77">
        <v>1</v>
      </c>
      <c r="G8" s="80">
        <v>0</v>
      </c>
      <c r="H8" s="69" t="str">
        <f>"1T"&amp;TEXT(F8,"00")&amp;TEXT(G8,"00")</f>
        <v>1T0100</v>
      </c>
      <c r="I8" s="65">
        <v>9</v>
      </c>
      <c r="J8" s="65" t="str">
        <f t="shared" ref="J8" si="0">CONCATENATE(I8,"-",H8,"/",K8,"-",L8)</f>
        <v>9-1T0100/*-*</v>
      </c>
      <c r="K8" s="65" t="s">
        <v>33</v>
      </c>
      <c r="L8" s="65" t="s">
        <v>33</v>
      </c>
      <c r="M8" s="65" t="str">
        <f t="shared" ref="M8" si="1">CONCATENATE(L8,"-",K8,"/",H8,"-",I8)</f>
        <v>*-*/1T0100-9</v>
      </c>
      <c r="N8" s="159" t="s">
        <v>222</v>
      </c>
      <c r="O8" s="159" t="s">
        <v>204</v>
      </c>
      <c r="P8" s="68" t="s">
        <v>41</v>
      </c>
      <c r="Q8" s="89" t="str" cm="1">
        <f t="array" ref="Q8">UPPER(
   "In PLC side, " &amp;
   _xlfn.TEXTJOIN(", ", TRUE,
      H8:INDEX(H8:H19, MATCH("COMMON",P8:P19,0)-2) &amp;
      ": " &amp;
      (I8:INDEX(I8:I19, MATCH("COMMON",P8:P19,0)-2)+1)
   ) &amp;
   " &amp; " &amp;
   INDEX(H8:H19, MATCH("COMMON",P8:P19,0)-1) &amp; ": " &amp;
   INDEX(I8:I19, MATCH("COMMON",P8:P19,0)-1)+1 &amp;
   " are already looped"
)</f>
        <v>IN PLC SIDE, 1T0100: 10, 1T0100: 12, 1T0100: 14, 1T0100: 16, 1T0100: 18 &amp; 1T0100: 20 ARE ALREADY LOOPED</v>
      </c>
    </row>
    <row r="9" spans="2:17" ht="30" customHeight="1" x14ac:dyDescent="0.3">
      <c r="B9" s="87"/>
      <c r="C9" s="159"/>
      <c r="D9" s="89"/>
      <c r="E9" s="67" t="s">
        <v>14</v>
      </c>
      <c r="F9" s="77">
        <v>1</v>
      </c>
      <c r="G9" s="80">
        <v>0</v>
      </c>
      <c r="H9" s="69" t="str">
        <f t="shared" ref="H9:H72" si="2">"1T"&amp;TEXT(F9,"00")&amp;TEXT(G9,"00")</f>
        <v>1T0100</v>
      </c>
      <c r="I9" s="65">
        <f>I8+2</f>
        <v>11</v>
      </c>
      <c r="J9" s="65" t="str">
        <f t="shared" ref="J9:J72" si="3">CONCATENATE(I9,"-",H9,"/",K9,"-",L9)</f>
        <v>11-1T0100/*-*</v>
      </c>
      <c r="K9" s="65" t="s">
        <v>33</v>
      </c>
      <c r="L9" s="65" t="s">
        <v>33</v>
      </c>
      <c r="M9" s="65" t="str">
        <f t="shared" ref="M9:M72" si="4">CONCATENATE(L9,"-",K9,"/",H9,"-",I9)</f>
        <v>*-*/1T0100-11</v>
      </c>
      <c r="N9" s="159"/>
      <c r="O9" s="159"/>
      <c r="P9" s="68" t="s">
        <v>42</v>
      </c>
      <c r="Q9" s="89"/>
    </row>
    <row r="10" spans="2:17" ht="30" customHeight="1" x14ac:dyDescent="0.3">
      <c r="B10" s="87"/>
      <c r="C10" s="159"/>
      <c r="D10" s="89"/>
      <c r="E10" s="67" t="s">
        <v>15</v>
      </c>
      <c r="F10" s="77">
        <v>1</v>
      </c>
      <c r="G10" s="80">
        <v>0</v>
      </c>
      <c r="H10" s="69" t="str">
        <f t="shared" si="2"/>
        <v>1T0100</v>
      </c>
      <c r="I10" s="65">
        <f>I9+2</f>
        <v>13</v>
      </c>
      <c r="J10" s="65" t="str">
        <f t="shared" si="3"/>
        <v>13-1T0100/*-*</v>
      </c>
      <c r="K10" s="65" t="s">
        <v>33</v>
      </c>
      <c r="L10" s="65" t="s">
        <v>33</v>
      </c>
      <c r="M10" s="65" t="str">
        <f t="shared" si="4"/>
        <v>*-*/1T0100-13</v>
      </c>
      <c r="N10" s="159"/>
      <c r="O10" s="159"/>
      <c r="P10" s="68" t="s">
        <v>262</v>
      </c>
      <c r="Q10" s="89"/>
    </row>
    <row r="11" spans="2:17" ht="30" customHeight="1" x14ac:dyDescent="0.3">
      <c r="B11" s="87"/>
      <c r="C11" s="159"/>
      <c r="D11" s="89"/>
      <c r="E11" s="67" t="s">
        <v>16</v>
      </c>
      <c r="F11" s="77">
        <v>1</v>
      </c>
      <c r="G11" s="80">
        <v>0</v>
      </c>
      <c r="H11" s="69" t="str">
        <f t="shared" si="2"/>
        <v>1T0100</v>
      </c>
      <c r="I11" s="65">
        <f>I10+2</f>
        <v>15</v>
      </c>
      <c r="J11" s="65" t="str">
        <f t="shared" si="3"/>
        <v>15-1T0100/*-*</v>
      </c>
      <c r="K11" s="65" t="s">
        <v>33</v>
      </c>
      <c r="L11" s="65" t="s">
        <v>33</v>
      </c>
      <c r="M11" s="65" t="str">
        <f t="shared" si="4"/>
        <v>*-*/1T0100-15</v>
      </c>
      <c r="N11" s="159"/>
      <c r="O11" s="159"/>
      <c r="P11" s="68" t="s">
        <v>263</v>
      </c>
      <c r="Q11" s="89"/>
    </row>
    <row r="12" spans="2:17" ht="30" customHeight="1" x14ac:dyDescent="0.3">
      <c r="B12" s="87"/>
      <c r="C12" s="159"/>
      <c r="D12" s="89"/>
      <c r="E12" s="67" t="s">
        <v>17</v>
      </c>
      <c r="F12" s="77">
        <v>1</v>
      </c>
      <c r="G12" s="80">
        <v>0</v>
      </c>
      <c r="H12" s="69" t="str">
        <f t="shared" si="2"/>
        <v>1T0100</v>
      </c>
      <c r="I12" s="65">
        <f>I11+2</f>
        <v>17</v>
      </c>
      <c r="J12" s="65" t="str">
        <f t="shared" si="3"/>
        <v>17-1T0100/*-*</v>
      </c>
      <c r="K12" s="65" t="s">
        <v>33</v>
      </c>
      <c r="L12" s="65" t="s">
        <v>33</v>
      </c>
      <c r="M12" s="65" t="str">
        <f t="shared" si="4"/>
        <v>*-*/1T0100-17</v>
      </c>
      <c r="N12" s="159"/>
      <c r="O12" s="159"/>
      <c r="P12" s="68" t="s">
        <v>264</v>
      </c>
      <c r="Q12" s="89"/>
    </row>
    <row r="13" spans="2:17" ht="30" customHeight="1" x14ac:dyDescent="0.3">
      <c r="B13" s="87"/>
      <c r="C13" s="159"/>
      <c r="D13" s="89"/>
      <c r="E13" s="67" t="s">
        <v>18</v>
      </c>
      <c r="F13" s="77">
        <v>1</v>
      </c>
      <c r="G13" s="80">
        <v>0</v>
      </c>
      <c r="H13" s="69" t="str">
        <f t="shared" si="2"/>
        <v>1T0100</v>
      </c>
      <c r="I13" s="65">
        <f>I12+2</f>
        <v>19</v>
      </c>
      <c r="J13" s="65" t="str">
        <f t="shared" si="3"/>
        <v>19-1T0100/*-*</v>
      </c>
      <c r="K13" s="65" t="s">
        <v>33</v>
      </c>
      <c r="L13" s="65" t="s">
        <v>33</v>
      </c>
      <c r="M13" s="65" t="str">
        <f t="shared" si="4"/>
        <v>*-*/1T0100-19</v>
      </c>
      <c r="N13" s="159"/>
      <c r="O13" s="159"/>
      <c r="P13" s="68" t="s">
        <v>265</v>
      </c>
      <c r="Q13" s="89"/>
    </row>
    <row r="14" spans="2:17" ht="30" customHeight="1" x14ac:dyDescent="0.45">
      <c r="B14" s="87"/>
      <c r="C14" s="159"/>
      <c r="D14" s="89"/>
      <c r="E14" s="67" t="s">
        <v>19</v>
      </c>
      <c r="F14" s="77">
        <v>1</v>
      </c>
      <c r="G14" s="80">
        <v>0</v>
      </c>
      <c r="H14" s="69" t="str">
        <f t="shared" si="2"/>
        <v>1T0100</v>
      </c>
      <c r="I14" s="65">
        <f>I13+1</f>
        <v>20</v>
      </c>
      <c r="J14" s="65" t="str">
        <f t="shared" si="3"/>
        <v>20-1T0100/*-*</v>
      </c>
      <c r="K14" s="65" t="s">
        <v>33</v>
      </c>
      <c r="L14" s="65" t="s">
        <v>33</v>
      </c>
      <c r="M14" s="65" t="str">
        <f t="shared" si="4"/>
        <v>*-*/1T0100-20</v>
      </c>
      <c r="N14" s="159"/>
      <c r="O14" s="159"/>
      <c r="P14" s="75" t="s">
        <v>31</v>
      </c>
      <c r="Q14" s="89"/>
    </row>
    <row r="15" spans="2:17" ht="30" customHeight="1" x14ac:dyDescent="0.3">
      <c r="B15" s="87"/>
      <c r="C15" s="159"/>
      <c r="D15" s="89"/>
      <c r="E15" s="67" t="s">
        <v>20</v>
      </c>
      <c r="F15" s="77">
        <v>4</v>
      </c>
      <c r="G15" s="80">
        <v>0</v>
      </c>
      <c r="H15" s="69" t="str">
        <f t="shared" si="2"/>
        <v>1T0400</v>
      </c>
      <c r="I15" s="65">
        <v>1</v>
      </c>
      <c r="J15" s="65" t="str">
        <f t="shared" si="3"/>
        <v>1-1T0400/*-*</v>
      </c>
      <c r="K15" s="65" t="s">
        <v>33</v>
      </c>
      <c r="L15" s="65" t="s">
        <v>33</v>
      </c>
      <c r="M15" s="65" t="str">
        <f t="shared" si="4"/>
        <v>*-*/1T0400-1</v>
      </c>
      <c r="N15" s="159"/>
      <c r="O15" s="159"/>
      <c r="P15" s="68" t="s">
        <v>225</v>
      </c>
      <c r="Q15" s="89" t="str" cm="1">
        <f t="array" ref="Q15">UPPER(
   "In PLC side, " &amp;
   _xlfn.TEXTJOIN(", ", TRUE,
      H15:INDEX(H15:H24, MATCH("COMMON",P15:P24,0)-2) &amp;
      ": " &amp;
      (I15:INDEX(I15:I24, MATCH("COMMON",P15:P24,0)-2)+1)
   ) &amp;
   " &amp; " &amp;
   INDEX(H15:H24, MATCH("COMMON",P15:P24,0)-1) &amp; ": " &amp;
   INDEX(I15:I24, MATCH("COMMON",P15:P24,0)-1)+1 &amp;
   " are already looped"
)</f>
        <v>IN PLC SIDE, 1T0400: 2 &amp; 1T0400: 4 ARE ALREADY LOOPED</v>
      </c>
    </row>
    <row r="16" spans="2:17" ht="30" customHeight="1" x14ac:dyDescent="0.3">
      <c r="B16" s="87"/>
      <c r="C16" s="159"/>
      <c r="D16" s="89"/>
      <c r="E16" s="67" t="s">
        <v>21</v>
      </c>
      <c r="F16" s="77">
        <v>4</v>
      </c>
      <c r="G16" s="80">
        <v>0</v>
      </c>
      <c r="H16" s="69" t="str">
        <f t="shared" si="2"/>
        <v>1T0400</v>
      </c>
      <c r="I16" s="65">
        <f>I15+2</f>
        <v>3</v>
      </c>
      <c r="J16" s="65" t="str">
        <f t="shared" si="3"/>
        <v>3-1T0400/*-*</v>
      </c>
      <c r="K16" s="65" t="s">
        <v>33</v>
      </c>
      <c r="L16" s="65" t="s">
        <v>33</v>
      </c>
      <c r="M16" s="65" t="str">
        <f t="shared" si="4"/>
        <v>*-*/1T0400-3</v>
      </c>
      <c r="N16" s="159"/>
      <c r="O16" s="159"/>
      <c r="P16" s="68" t="s">
        <v>226</v>
      </c>
      <c r="Q16" s="89"/>
    </row>
    <row r="17" spans="2:17" ht="30" customHeight="1" x14ac:dyDescent="0.3">
      <c r="B17" s="87"/>
      <c r="C17" s="159"/>
      <c r="D17" s="89"/>
      <c r="E17" s="67" t="s">
        <v>30</v>
      </c>
      <c r="F17" s="77">
        <v>4</v>
      </c>
      <c r="G17" s="80">
        <v>0</v>
      </c>
      <c r="H17" s="69" t="str">
        <f t="shared" si="2"/>
        <v>1T0400</v>
      </c>
      <c r="I17" s="65">
        <f>I16+1</f>
        <v>4</v>
      </c>
      <c r="J17" s="65" t="str">
        <f t="shared" si="3"/>
        <v>4-1T0400/*-*</v>
      </c>
      <c r="K17" s="65" t="s">
        <v>33</v>
      </c>
      <c r="L17" s="65" t="s">
        <v>33</v>
      </c>
      <c r="M17" s="65" t="str">
        <f t="shared" si="4"/>
        <v>*-*/1T0400-4</v>
      </c>
      <c r="N17" s="159"/>
      <c r="O17" s="159"/>
      <c r="P17" s="68" t="s">
        <v>31</v>
      </c>
      <c r="Q17" s="89"/>
    </row>
    <row r="18" spans="2:17" ht="30" customHeight="1" x14ac:dyDescent="0.3">
      <c r="B18" s="87"/>
      <c r="C18" s="159"/>
      <c r="D18" s="89"/>
      <c r="E18" s="65" t="s">
        <v>323</v>
      </c>
      <c r="F18" s="77" t="s">
        <v>45</v>
      </c>
      <c r="G18" s="80" t="s">
        <v>45</v>
      </c>
      <c r="H18" s="69" t="s">
        <v>45</v>
      </c>
      <c r="I18" s="65" t="s">
        <v>45</v>
      </c>
      <c r="J18" s="65" t="s">
        <v>45</v>
      </c>
      <c r="K18" s="65" t="s">
        <v>45</v>
      </c>
      <c r="L18" s="65" t="s">
        <v>45</v>
      </c>
      <c r="M18" s="65" t="s">
        <v>45</v>
      </c>
      <c r="N18" s="159"/>
      <c r="O18" s="159"/>
      <c r="P18" s="68" t="s">
        <v>34</v>
      </c>
      <c r="Q18" s="89"/>
    </row>
    <row r="19" spans="2:17" ht="30" customHeight="1" x14ac:dyDescent="0.45">
      <c r="B19" s="87"/>
      <c r="C19" s="159"/>
      <c r="D19" s="89"/>
      <c r="E19" s="65" t="s">
        <v>324</v>
      </c>
      <c r="F19" s="77" t="s">
        <v>45</v>
      </c>
      <c r="G19" s="80" t="s">
        <v>45</v>
      </c>
      <c r="H19" s="69" t="s">
        <v>45</v>
      </c>
      <c r="I19" s="65" t="s">
        <v>45</v>
      </c>
      <c r="J19" s="65" t="s">
        <v>45</v>
      </c>
      <c r="K19" s="65" t="s">
        <v>45</v>
      </c>
      <c r="L19" s="65" t="s">
        <v>45</v>
      </c>
      <c r="M19" s="65" t="s">
        <v>45</v>
      </c>
      <c r="N19" s="159"/>
      <c r="O19" s="159"/>
      <c r="P19" s="75" t="s">
        <v>34</v>
      </c>
      <c r="Q19" s="89"/>
    </row>
    <row r="20" spans="2:17" ht="30" customHeight="1" x14ac:dyDescent="0.3">
      <c r="B20" s="87">
        <f>B8+1</f>
        <v>2</v>
      </c>
      <c r="C20" s="159" t="str">
        <f t="shared" ref="C20" si="5">N20&amp;" - PLC"</f>
        <v>VTP-02/HT - PLC</v>
      </c>
      <c r="D20" s="89" t="s">
        <v>201</v>
      </c>
      <c r="E20" s="67" t="s">
        <v>13</v>
      </c>
      <c r="F20" s="77">
        <v>1</v>
      </c>
      <c r="G20" s="80">
        <v>1</v>
      </c>
      <c r="H20" s="69" t="str">
        <f t="shared" si="2"/>
        <v>1T0101</v>
      </c>
      <c r="I20" s="65">
        <v>3</v>
      </c>
      <c r="J20" s="65" t="str">
        <f t="shared" si="3"/>
        <v>3-1T0101/*-*</v>
      </c>
      <c r="K20" s="65" t="s">
        <v>33</v>
      </c>
      <c r="L20" s="65" t="s">
        <v>33</v>
      </c>
      <c r="M20" s="65" t="str">
        <f t="shared" si="4"/>
        <v>*-*/1T0101-3</v>
      </c>
      <c r="N20" s="159" t="s">
        <v>223</v>
      </c>
      <c r="O20" s="159" t="s">
        <v>205</v>
      </c>
      <c r="P20" s="68" t="s">
        <v>41</v>
      </c>
      <c r="Q20" s="89" t="str" cm="1">
        <f t="array" ref="Q20">UPPER(
   "In PLC side, " &amp;
   _xlfn.TEXTJOIN(", ", TRUE,
      H20:INDEX(H20:H31, MATCH("COMMON",P20:P31,0)-2) &amp;
      ": " &amp;
      (I20:INDEX(I20:I31, MATCH("COMMON",P20:P31,0)-2)+1)
   ) &amp;
   " &amp; " &amp;
   INDEX(H20:H31, MATCH("COMMON",P20:P31,0)-1) &amp; ": " &amp;
   INDEX(I20:I31, MATCH("COMMON",P20:P31,0)-1)+1 &amp;
   " are already looped"
)</f>
        <v>IN PLC SIDE, 1T0101: 4, 1T0101: 6, 1T0101: 8, 1T0101: 10, 1T0101: 12 &amp; 1T0101: 14 ARE ALREADY LOOPED</v>
      </c>
    </row>
    <row r="21" spans="2:17" ht="30" customHeight="1" x14ac:dyDescent="0.3">
      <c r="B21" s="87"/>
      <c r="C21" s="159"/>
      <c r="D21" s="89"/>
      <c r="E21" s="67" t="s">
        <v>14</v>
      </c>
      <c r="F21" s="77">
        <v>1</v>
      </c>
      <c r="G21" s="80">
        <v>1</v>
      </c>
      <c r="H21" s="69" t="str">
        <f t="shared" si="2"/>
        <v>1T0101</v>
      </c>
      <c r="I21" s="65">
        <f>I20+2</f>
        <v>5</v>
      </c>
      <c r="J21" s="65" t="str">
        <f t="shared" si="3"/>
        <v>5-1T0101/*-*</v>
      </c>
      <c r="K21" s="65" t="s">
        <v>33</v>
      </c>
      <c r="L21" s="65" t="s">
        <v>33</v>
      </c>
      <c r="M21" s="65" t="str">
        <f t="shared" si="4"/>
        <v>*-*/1T0101-5</v>
      </c>
      <c r="N21" s="159"/>
      <c r="O21" s="159"/>
      <c r="P21" s="68" t="s">
        <v>42</v>
      </c>
      <c r="Q21" s="89"/>
    </row>
    <row r="22" spans="2:17" ht="30" customHeight="1" x14ac:dyDescent="0.3">
      <c r="B22" s="87"/>
      <c r="C22" s="159"/>
      <c r="D22" s="89"/>
      <c r="E22" s="67" t="s">
        <v>15</v>
      </c>
      <c r="F22" s="77">
        <v>1</v>
      </c>
      <c r="G22" s="80">
        <v>1</v>
      </c>
      <c r="H22" s="69" t="str">
        <f t="shared" si="2"/>
        <v>1T0101</v>
      </c>
      <c r="I22" s="65">
        <f>I21+2</f>
        <v>7</v>
      </c>
      <c r="J22" s="65" t="str">
        <f t="shared" si="3"/>
        <v>7-1T0101/*-*</v>
      </c>
      <c r="K22" s="65" t="s">
        <v>33</v>
      </c>
      <c r="L22" s="65" t="s">
        <v>33</v>
      </c>
      <c r="M22" s="65" t="str">
        <f t="shared" si="4"/>
        <v>*-*/1T0101-7</v>
      </c>
      <c r="N22" s="159"/>
      <c r="O22" s="159"/>
      <c r="P22" s="68" t="s">
        <v>262</v>
      </c>
      <c r="Q22" s="89"/>
    </row>
    <row r="23" spans="2:17" ht="30" customHeight="1" x14ac:dyDescent="0.3">
      <c r="B23" s="87"/>
      <c r="C23" s="159"/>
      <c r="D23" s="89"/>
      <c r="E23" s="67" t="s">
        <v>16</v>
      </c>
      <c r="F23" s="77">
        <v>1</v>
      </c>
      <c r="G23" s="80">
        <v>1</v>
      </c>
      <c r="H23" s="69" t="str">
        <f t="shared" si="2"/>
        <v>1T0101</v>
      </c>
      <c r="I23" s="65">
        <f>I22+2</f>
        <v>9</v>
      </c>
      <c r="J23" s="65" t="str">
        <f t="shared" si="3"/>
        <v>9-1T0101/*-*</v>
      </c>
      <c r="K23" s="65" t="s">
        <v>33</v>
      </c>
      <c r="L23" s="65" t="s">
        <v>33</v>
      </c>
      <c r="M23" s="65" t="str">
        <f t="shared" si="4"/>
        <v>*-*/1T0101-9</v>
      </c>
      <c r="N23" s="159"/>
      <c r="O23" s="159"/>
      <c r="P23" s="68" t="s">
        <v>263</v>
      </c>
      <c r="Q23" s="89"/>
    </row>
    <row r="24" spans="2:17" ht="30" customHeight="1" x14ac:dyDescent="0.3">
      <c r="B24" s="87"/>
      <c r="C24" s="159"/>
      <c r="D24" s="89"/>
      <c r="E24" s="67" t="s">
        <v>17</v>
      </c>
      <c r="F24" s="77">
        <v>1</v>
      </c>
      <c r="G24" s="80">
        <v>1</v>
      </c>
      <c r="H24" s="69" t="str">
        <f t="shared" si="2"/>
        <v>1T0101</v>
      </c>
      <c r="I24" s="65">
        <f>I23+2</f>
        <v>11</v>
      </c>
      <c r="J24" s="65" t="str">
        <f t="shared" si="3"/>
        <v>11-1T0101/*-*</v>
      </c>
      <c r="K24" s="65" t="s">
        <v>33</v>
      </c>
      <c r="L24" s="65" t="s">
        <v>33</v>
      </c>
      <c r="M24" s="65" t="str">
        <f t="shared" si="4"/>
        <v>*-*/1T0101-11</v>
      </c>
      <c r="N24" s="159"/>
      <c r="O24" s="159"/>
      <c r="P24" s="68" t="s">
        <v>264</v>
      </c>
      <c r="Q24" s="89"/>
    </row>
    <row r="25" spans="2:17" ht="30" customHeight="1" x14ac:dyDescent="0.3">
      <c r="B25" s="87"/>
      <c r="C25" s="159"/>
      <c r="D25" s="89"/>
      <c r="E25" s="67" t="s">
        <v>18</v>
      </c>
      <c r="F25" s="77">
        <v>1</v>
      </c>
      <c r="G25" s="80">
        <v>1</v>
      </c>
      <c r="H25" s="69" t="str">
        <f t="shared" si="2"/>
        <v>1T0101</v>
      </c>
      <c r="I25" s="65">
        <f>I24+2</f>
        <v>13</v>
      </c>
      <c r="J25" s="65" t="str">
        <f t="shared" si="3"/>
        <v>13-1T0101/*-*</v>
      </c>
      <c r="K25" s="65" t="s">
        <v>33</v>
      </c>
      <c r="L25" s="65" t="s">
        <v>33</v>
      </c>
      <c r="M25" s="65" t="str">
        <f t="shared" si="4"/>
        <v>*-*/1T0101-13</v>
      </c>
      <c r="N25" s="159"/>
      <c r="O25" s="159"/>
      <c r="P25" s="68" t="s">
        <v>265</v>
      </c>
      <c r="Q25" s="89"/>
    </row>
    <row r="26" spans="2:17" ht="30" customHeight="1" x14ac:dyDescent="0.45">
      <c r="B26" s="87"/>
      <c r="C26" s="159"/>
      <c r="D26" s="89"/>
      <c r="E26" s="67" t="s">
        <v>19</v>
      </c>
      <c r="F26" s="77">
        <v>1</v>
      </c>
      <c r="G26" s="80">
        <v>1</v>
      </c>
      <c r="H26" s="69" t="str">
        <f t="shared" si="2"/>
        <v>1T0101</v>
      </c>
      <c r="I26" s="65">
        <f>I25+1</f>
        <v>14</v>
      </c>
      <c r="J26" s="65" t="str">
        <f t="shared" si="3"/>
        <v>14-1T0101/*-*</v>
      </c>
      <c r="K26" s="65" t="s">
        <v>33</v>
      </c>
      <c r="L26" s="65" t="s">
        <v>33</v>
      </c>
      <c r="M26" s="65" t="str">
        <f t="shared" si="4"/>
        <v>*-*/1T0101-14</v>
      </c>
      <c r="N26" s="159"/>
      <c r="O26" s="159"/>
      <c r="P26" s="75" t="s">
        <v>31</v>
      </c>
      <c r="Q26" s="89"/>
    </row>
    <row r="27" spans="2:17" ht="30" customHeight="1" x14ac:dyDescent="0.3">
      <c r="B27" s="87"/>
      <c r="C27" s="159"/>
      <c r="D27" s="89"/>
      <c r="E27" s="67" t="s">
        <v>20</v>
      </c>
      <c r="F27" s="77">
        <v>4</v>
      </c>
      <c r="G27" s="80">
        <v>0</v>
      </c>
      <c r="H27" s="69" t="str">
        <f t="shared" si="2"/>
        <v>1T0400</v>
      </c>
      <c r="I27" s="65">
        <v>9</v>
      </c>
      <c r="J27" s="65" t="str">
        <f t="shared" si="3"/>
        <v>9-1T0400/*-*</v>
      </c>
      <c r="K27" s="65" t="s">
        <v>33</v>
      </c>
      <c r="L27" s="65" t="s">
        <v>33</v>
      </c>
      <c r="M27" s="65" t="str">
        <f t="shared" si="4"/>
        <v>*-*/1T0400-9</v>
      </c>
      <c r="N27" s="159"/>
      <c r="O27" s="159"/>
      <c r="P27" s="68" t="s">
        <v>225</v>
      </c>
      <c r="Q27" s="161" t="str" cm="1">
        <f t="array" ref="Q27">UPPER(
   "In PLC side, " &amp;
   _xlfn.TEXTJOIN(", ", TRUE,
      H27:INDEX(H27:H36, MATCH("COMMON",P27:P36,0)-2) &amp;
      ": " &amp;
      (I27:INDEX(I27:I36, MATCH("COMMON",P27:P36,0)-2)+1)
   ) &amp;
   " &amp; " &amp;
   INDEX(H27:H36, MATCH("COMMON",P27:P36,0)-1) &amp; ": " &amp;
   INDEX(I27:I36, MATCH("COMMON",P27:P36,0)-1)+1 &amp;
   " are already looped"
)</f>
        <v>IN PLC SIDE, 1T0400: 10 &amp; 1T0400: 12 ARE ALREADY LOOPED</v>
      </c>
    </row>
    <row r="28" spans="2:17" ht="30" customHeight="1" x14ac:dyDescent="0.3">
      <c r="B28" s="87"/>
      <c r="C28" s="159"/>
      <c r="D28" s="89"/>
      <c r="E28" s="67" t="s">
        <v>21</v>
      </c>
      <c r="F28" s="77">
        <v>4</v>
      </c>
      <c r="G28" s="80">
        <v>0</v>
      </c>
      <c r="H28" s="69" t="str">
        <f t="shared" si="2"/>
        <v>1T0400</v>
      </c>
      <c r="I28" s="65">
        <f>I27+2</f>
        <v>11</v>
      </c>
      <c r="J28" s="65" t="str">
        <f t="shared" si="3"/>
        <v>11-1T0400/*-*</v>
      </c>
      <c r="K28" s="65" t="s">
        <v>33</v>
      </c>
      <c r="L28" s="65" t="s">
        <v>33</v>
      </c>
      <c r="M28" s="65" t="str">
        <f t="shared" si="4"/>
        <v>*-*/1T0400-11</v>
      </c>
      <c r="N28" s="159"/>
      <c r="O28" s="159"/>
      <c r="P28" s="68" t="s">
        <v>226</v>
      </c>
      <c r="Q28" s="162"/>
    </row>
    <row r="29" spans="2:17" ht="30" customHeight="1" x14ac:dyDescent="0.3">
      <c r="B29" s="87"/>
      <c r="C29" s="159"/>
      <c r="D29" s="89"/>
      <c r="E29" s="67" t="s">
        <v>30</v>
      </c>
      <c r="F29" s="77">
        <v>4</v>
      </c>
      <c r="G29" s="80">
        <v>0</v>
      </c>
      <c r="H29" s="69" t="str">
        <f t="shared" si="2"/>
        <v>1T0400</v>
      </c>
      <c r="I29" s="65">
        <f>I28+1</f>
        <v>12</v>
      </c>
      <c r="J29" s="65" t="str">
        <f t="shared" si="3"/>
        <v>12-1T0400/*-*</v>
      </c>
      <c r="K29" s="65" t="s">
        <v>33</v>
      </c>
      <c r="L29" s="65" t="s">
        <v>33</v>
      </c>
      <c r="M29" s="65" t="str">
        <f t="shared" si="4"/>
        <v>*-*/1T0400-12</v>
      </c>
      <c r="N29" s="159"/>
      <c r="O29" s="159"/>
      <c r="P29" s="68" t="s">
        <v>31</v>
      </c>
      <c r="Q29" s="162"/>
    </row>
    <row r="30" spans="2:17" ht="30" customHeight="1" x14ac:dyDescent="0.3">
      <c r="B30" s="87"/>
      <c r="C30" s="159"/>
      <c r="D30" s="89"/>
      <c r="E30" s="65" t="s">
        <v>323</v>
      </c>
      <c r="F30" s="77" t="s">
        <v>45</v>
      </c>
      <c r="G30" s="80" t="s">
        <v>45</v>
      </c>
      <c r="H30" s="69" t="s">
        <v>45</v>
      </c>
      <c r="I30" s="65" t="s">
        <v>45</v>
      </c>
      <c r="J30" s="65" t="s">
        <v>45</v>
      </c>
      <c r="K30" s="65" t="s">
        <v>45</v>
      </c>
      <c r="L30" s="65" t="s">
        <v>45</v>
      </c>
      <c r="M30" s="65" t="s">
        <v>45</v>
      </c>
      <c r="N30" s="159"/>
      <c r="O30" s="159"/>
      <c r="P30" s="68" t="s">
        <v>34</v>
      </c>
      <c r="Q30" s="162"/>
    </row>
    <row r="31" spans="2:17" ht="30" customHeight="1" x14ac:dyDescent="0.45">
      <c r="B31" s="87"/>
      <c r="C31" s="159"/>
      <c r="D31" s="89"/>
      <c r="E31" s="65" t="s">
        <v>324</v>
      </c>
      <c r="F31" s="77" t="s">
        <v>45</v>
      </c>
      <c r="G31" s="80" t="s">
        <v>45</v>
      </c>
      <c r="H31" s="69" t="s">
        <v>45</v>
      </c>
      <c r="I31" s="65" t="s">
        <v>45</v>
      </c>
      <c r="J31" s="65" t="s">
        <v>45</v>
      </c>
      <c r="K31" s="65" t="s">
        <v>45</v>
      </c>
      <c r="L31" s="65" t="s">
        <v>45</v>
      </c>
      <c r="M31" s="65" t="s">
        <v>45</v>
      </c>
      <c r="N31" s="159"/>
      <c r="O31" s="159"/>
      <c r="P31" s="75" t="s">
        <v>34</v>
      </c>
      <c r="Q31" s="163"/>
    </row>
    <row r="32" spans="2:17" ht="30" customHeight="1" x14ac:dyDescent="0.3">
      <c r="B32" s="87">
        <f t="shared" ref="B32" si="6">B20+1</f>
        <v>3</v>
      </c>
      <c r="C32" s="159" t="str">
        <f t="shared" ref="C32" si="7">N32&amp;" - PLC"</f>
        <v>VTP-03/HT - PLC</v>
      </c>
      <c r="D32" s="89" t="s">
        <v>201</v>
      </c>
      <c r="E32" s="67" t="s">
        <v>13</v>
      </c>
      <c r="F32" s="77">
        <v>1</v>
      </c>
      <c r="G32" s="80">
        <v>1</v>
      </c>
      <c r="H32" s="69" t="str">
        <f t="shared" si="2"/>
        <v>1T0101</v>
      </c>
      <c r="I32" s="65">
        <v>23</v>
      </c>
      <c r="J32" s="65" t="str">
        <f t="shared" si="3"/>
        <v>23-1T0101/*-*</v>
      </c>
      <c r="K32" s="65" t="s">
        <v>33</v>
      </c>
      <c r="L32" s="65" t="s">
        <v>33</v>
      </c>
      <c r="M32" s="65" t="str">
        <f t="shared" si="4"/>
        <v>*-*/1T0101-23</v>
      </c>
      <c r="N32" s="159" t="s">
        <v>224</v>
      </c>
      <c r="O32" s="159" t="s">
        <v>206</v>
      </c>
      <c r="P32" s="68" t="s">
        <v>41</v>
      </c>
      <c r="Q32" s="89" t="str" cm="1">
        <f t="array" ref="Q32">UPPER(
   "In PLC side, " &amp;
   _xlfn.TEXTJOIN(", ", TRUE,
      H32:INDEX(H32:H43, MATCH("COMMON",P32:P43,0)-2) &amp;
      ": " &amp;
      (I32:INDEX(I32:I43, MATCH("COMMON",P32:P43,0)-2)+1)
   ) &amp;
   " &amp; " &amp;
   INDEX(H32:H43, MATCH("COMMON",P32:P43,0)-1) &amp; ": " &amp;
   INDEX(I32:I43, MATCH("COMMON",P32:P43,0)-1)+1 &amp;
   " are already looped"
)</f>
        <v>IN PLC SIDE, 1T0101: 24, 1T0101: 26, 1T0102: 2, 1T0102: 4, 1T0102: 6 &amp; 1T0102: 8 ARE ALREADY LOOPED</v>
      </c>
    </row>
    <row r="33" spans="2:17" ht="30" customHeight="1" x14ac:dyDescent="0.3">
      <c r="B33" s="87"/>
      <c r="C33" s="159"/>
      <c r="D33" s="89"/>
      <c r="E33" s="67" t="s">
        <v>14</v>
      </c>
      <c r="F33" s="77">
        <v>1</v>
      </c>
      <c r="G33" s="80">
        <v>1</v>
      </c>
      <c r="H33" s="69" t="str">
        <f t="shared" si="2"/>
        <v>1T0101</v>
      </c>
      <c r="I33" s="65">
        <f>I32+2</f>
        <v>25</v>
      </c>
      <c r="J33" s="65" t="str">
        <f t="shared" si="3"/>
        <v>25-1T0101/*-*</v>
      </c>
      <c r="K33" s="65" t="s">
        <v>33</v>
      </c>
      <c r="L33" s="65" t="s">
        <v>33</v>
      </c>
      <c r="M33" s="65" t="str">
        <f t="shared" si="4"/>
        <v>*-*/1T0101-25</v>
      </c>
      <c r="N33" s="159"/>
      <c r="O33" s="159"/>
      <c r="P33" s="68" t="s">
        <v>42</v>
      </c>
      <c r="Q33" s="89"/>
    </row>
    <row r="34" spans="2:17" ht="30" customHeight="1" x14ac:dyDescent="0.3">
      <c r="B34" s="87"/>
      <c r="C34" s="159"/>
      <c r="D34" s="89"/>
      <c r="E34" s="67" t="s">
        <v>15</v>
      </c>
      <c r="F34" s="77">
        <v>1</v>
      </c>
      <c r="G34" s="80">
        <v>2</v>
      </c>
      <c r="H34" s="69" t="str">
        <f t="shared" si="2"/>
        <v>1T0102</v>
      </c>
      <c r="I34" s="65">
        <v>1</v>
      </c>
      <c r="J34" s="65" t="str">
        <f t="shared" si="3"/>
        <v>1-1T0102/*-*</v>
      </c>
      <c r="K34" s="65" t="s">
        <v>33</v>
      </c>
      <c r="L34" s="65" t="s">
        <v>33</v>
      </c>
      <c r="M34" s="65" t="str">
        <f t="shared" si="4"/>
        <v>*-*/1T0102-1</v>
      </c>
      <c r="N34" s="159"/>
      <c r="O34" s="159"/>
      <c r="P34" s="68" t="s">
        <v>262</v>
      </c>
      <c r="Q34" s="89"/>
    </row>
    <row r="35" spans="2:17" ht="30" customHeight="1" x14ac:dyDescent="0.3">
      <c r="B35" s="87"/>
      <c r="C35" s="159"/>
      <c r="D35" s="89"/>
      <c r="E35" s="67" t="s">
        <v>16</v>
      </c>
      <c r="F35" s="77">
        <v>1</v>
      </c>
      <c r="G35" s="80">
        <v>2</v>
      </c>
      <c r="H35" s="69" t="str">
        <f t="shared" si="2"/>
        <v>1T0102</v>
      </c>
      <c r="I35" s="65">
        <f>I34+2</f>
        <v>3</v>
      </c>
      <c r="J35" s="65" t="str">
        <f t="shared" si="3"/>
        <v>3-1T0102/*-*</v>
      </c>
      <c r="K35" s="65" t="s">
        <v>33</v>
      </c>
      <c r="L35" s="65" t="s">
        <v>33</v>
      </c>
      <c r="M35" s="65" t="str">
        <f t="shared" si="4"/>
        <v>*-*/1T0102-3</v>
      </c>
      <c r="N35" s="159"/>
      <c r="O35" s="159"/>
      <c r="P35" s="68" t="s">
        <v>263</v>
      </c>
      <c r="Q35" s="89"/>
    </row>
    <row r="36" spans="2:17" ht="30" customHeight="1" x14ac:dyDescent="0.3">
      <c r="B36" s="87"/>
      <c r="C36" s="159"/>
      <c r="D36" s="89"/>
      <c r="E36" s="67" t="s">
        <v>17</v>
      </c>
      <c r="F36" s="77">
        <v>1</v>
      </c>
      <c r="G36" s="80">
        <v>2</v>
      </c>
      <c r="H36" s="69" t="str">
        <f t="shared" si="2"/>
        <v>1T0102</v>
      </c>
      <c r="I36" s="65">
        <f>I35+2</f>
        <v>5</v>
      </c>
      <c r="J36" s="65" t="str">
        <f t="shared" si="3"/>
        <v>5-1T0102/*-*</v>
      </c>
      <c r="K36" s="65" t="s">
        <v>33</v>
      </c>
      <c r="L36" s="65" t="s">
        <v>33</v>
      </c>
      <c r="M36" s="65" t="str">
        <f t="shared" si="4"/>
        <v>*-*/1T0102-5</v>
      </c>
      <c r="N36" s="159"/>
      <c r="O36" s="159"/>
      <c r="P36" s="68" t="s">
        <v>264</v>
      </c>
      <c r="Q36" s="89"/>
    </row>
    <row r="37" spans="2:17" ht="30" customHeight="1" x14ac:dyDescent="0.3">
      <c r="B37" s="87"/>
      <c r="C37" s="159"/>
      <c r="D37" s="89"/>
      <c r="E37" s="67" t="s">
        <v>18</v>
      </c>
      <c r="F37" s="77">
        <v>1</v>
      </c>
      <c r="G37" s="80">
        <v>2</v>
      </c>
      <c r="H37" s="69" t="str">
        <f t="shared" si="2"/>
        <v>1T0102</v>
      </c>
      <c r="I37" s="65">
        <f>I36+2</f>
        <v>7</v>
      </c>
      <c r="J37" s="65" t="str">
        <f t="shared" si="3"/>
        <v>7-1T0102/*-*</v>
      </c>
      <c r="K37" s="65" t="s">
        <v>33</v>
      </c>
      <c r="L37" s="65" t="s">
        <v>33</v>
      </c>
      <c r="M37" s="65" t="str">
        <f t="shared" si="4"/>
        <v>*-*/1T0102-7</v>
      </c>
      <c r="N37" s="159"/>
      <c r="O37" s="159"/>
      <c r="P37" s="68" t="s">
        <v>265</v>
      </c>
      <c r="Q37" s="89"/>
    </row>
    <row r="38" spans="2:17" ht="30" customHeight="1" x14ac:dyDescent="0.45">
      <c r="B38" s="87"/>
      <c r="C38" s="159"/>
      <c r="D38" s="89"/>
      <c r="E38" s="67" t="s">
        <v>19</v>
      </c>
      <c r="F38" s="77">
        <v>1</v>
      </c>
      <c r="G38" s="80">
        <v>2</v>
      </c>
      <c r="H38" s="69" t="str">
        <f t="shared" si="2"/>
        <v>1T0102</v>
      </c>
      <c r="I38" s="65">
        <f>I37+1</f>
        <v>8</v>
      </c>
      <c r="J38" s="65" t="str">
        <f t="shared" si="3"/>
        <v>8-1T0102/*-*</v>
      </c>
      <c r="K38" s="65" t="s">
        <v>33</v>
      </c>
      <c r="L38" s="65" t="s">
        <v>33</v>
      </c>
      <c r="M38" s="65" t="str">
        <f t="shared" si="4"/>
        <v>*-*/1T0102-8</v>
      </c>
      <c r="N38" s="159"/>
      <c r="O38" s="159"/>
      <c r="P38" s="75" t="s">
        <v>31</v>
      </c>
      <c r="Q38" s="89"/>
    </row>
    <row r="39" spans="2:17" ht="30" customHeight="1" x14ac:dyDescent="0.3">
      <c r="B39" s="87"/>
      <c r="C39" s="159"/>
      <c r="D39" s="89"/>
      <c r="E39" s="67" t="s">
        <v>20</v>
      </c>
      <c r="F39" s="77">
        <v>4</v>
      </c>
      <c r="G39" s="80">
        <v>0</v>
      </c>
      <c r="H39" s="69" t="str">
        <f t="shared" si="2"/>
        <v>1T0400</v>
      </c>
      <c r="I39" s="65">
        <v>17</v>
      </c>
      <c r="J39" s="65" t="str">
        <f t="shared" si="3"/>
        <v>17-1T0400/*-*</v>
      </c>
      <c r="K39" s="65" t="s">
        <v>33</v>
      </c>
      <c r="L39" s="65" t="s">
        <v>33</v>
      </c>
      <c r="M39" s="65" t="str">
        <f t="shared" si="4"/>
        <v>*-*/1T0400-17</v>
      </c>
      <c r="N39" s="159"/>
      <c r="O39" s="159"/>
      <c r="P39" s="68" t="s">
        <v>225</v>
      </c>
      <c r="Q39" s="161" t="str" cm="1">
        <f t="array" ref="Q39">UPPER(
   "In PLC side, " &amp;
   _xlfn.TEXTJOIN(", ", TRUE,
      H39:INDEX(H39:H48, MATCH("COMMON",P39:P48,0)-2) &amp;
      ": " &amp;
      (I39:INDEX(I39:I48, MATCH("COMMON",P39:P48,0)-2)+1)
   ) &amp;
   " &amp; " &amp;
   INDEX(H39:H48, MATCH("COMMON",P39:P48,0)-1) &amp; ": " &amp;
   INDEX(I39:I48, MATCH("COMMON",P39:P48,0)-1)+1 &amp;
   " are already looped"
)</f>
        <v>IN PLC SIDE, 1T0400: 18 &amp; 1T0400: 20 ARE ALREADY LOOPED</v>
      </c>
    </row>
    <row r="40" spans="2:17" ht="30" customHeight="1" x14ac:dyDescent="0.3">
      <c r="B40" s="87"/>
      <c r="C40" s="159"/>
      <c r="D40" s="89"/>
      <c r="E40" s="67" t="s">
        <v>21</v>
      </c>
      <c r="F40" s="77">
        <v>4</v>
      </c>
      <c r="G40" s="80">
        <v>0</v>
      </c>
      <c r="H40" s="69" t="str">
        <f t="shared" si="2"/>
        <v>1T0400</v>
      </c>
      <c r="I40" s="65">
        <f>I39+2</f>
        <v>19</v>
      </c>
      <c r="J40" s="65" t="str">
        <f t="shared" si="3"/>
        <v>19-1T0400/*-*</v>
      </c>
      <c r="K40" s="65" t="s">
        <v>33</v>
      </c>
      <c r="L40" s="65" t="s">
        <v>33</v>
      </c>
      <c r="M40" s="65" t="str">
        <f t="shared" si="4"/>
        <v>*-*/1T0400-19</v>
      </c>
      <c r="N40" s="159"/>
      <c r="O40" s="159"/>
      <c r="P40" s="68" t="s">
        <v>226</v>
      </c>
      <c r="Q40" s="162"/>
    </row>
    <row r="41" spans="2:17" ht="30" customHeight="1" x14ac:dyDescent="0.3">
      <c r="B41" s="87"/>
      <c r="C41" s="159"/>
      <c r="D41" s="89"/>
      <c r="E41" s="67" t="s">
        <v>30</v>
      </c>
      <c r="F41" s="77">
        <v>4</v>
      </c>
      <c r="G41" s="80">
        <v>0</v>
      </c>
      <c r="H41" s="69" t="str">
        <f t="shared" si="2"/>
        <v>1T0400</v>
      </c>
      <c r="I41" s="65">
        <f>I40+1</f>
        <v>20</v>
      </c>
      <c r="J41" s="65" t="str">
        <f t="shared" si="3"/>
        <v>20-1T0400/*-*</v>
      </c>
      <c r="K41" s="65" t="s">
        <v>33</v>
      </c>
      <c r="L41" s="65" t="s">
        <v>33</v>
      </c>
      <c r="M41" s="65" t="str">
        <f t="shared" si="4"/>
        <v>*-*/1T0400-20</v>
      </c>
      <c r="N41" s="159"/>
      <c r="O41" s="159"/>
      <c r="P41" s="68" t="s">
        <v>31</v>
      </c>
      <c r="Q41" s="162"/>
    </row>
    <row r="42" spans="2:17" ht="30" customHeight="1" x14ac:dyDescent="0.3">
      <c r="B42" s="87"/>
      <c r="C42" s="159"/>
      <c r="D42" s="89"/>
      <c r="E42" s="65" t="s">
        <v>323</v>
      </c>
      <c r="F42" s="77" t="s">
        <v>45</v>
      </c>
      <c r="G42" s="80" t="s">
        <v>45</v>
      </c>
      <c r="H42" s="69" t="s">
        <v>45</v>
      </c>
      <c r="I42" s="65" t="s">
        <v>45</v>
      </c>
      <c r="J42" s="65" t="s">
        <v>45</v>
      </c>
      <c r="K42" s="65" t="s">
        <v>45</v>
      </c>
      <c r="L42" s="65" t="s">
        <v>45</v>
      </c>
      <c r="M42" s="65" t="s">
        <v>45</v>
      </c>
      <c r="N42" s="159"/>
      <c r="O42" s="159"/>
      <c r="P42" s="68" t="s">
        <v>34</v>
      </c>
      <c r="Q42" s="162"/>
    </row>
    <row r="43" spans="2:17" ht="30" customHeight="1" x14ac:dyDescent="0.45">
      <c r="B43" s="87"/>
      <c r="C43" s="159"/>
      <c r="D43" s="89"/>
      <c r="E43" s="65" t="s">
        <v>324</v>
      </c>
      <c r="F43" s="77" t="s">
        <v>45</v>
      </c>
      <c r="G43" s="80" t="s">
        <v>45</v>
      </c>
      <c r="H43" s="69" t="s">
        <v>45</v>
      </c>
      <c r="I43" s="65" t="s">
        <v>45</v>
      </c>
      <c r="J43" s="65" t="s">
        <v>45</v>
      </c>
      <c r="K43" s="65" t="s">
        <v>45</v>
      </c>
      <c r="L43" s="65" t="s">
        <v>45</v>
      </c>
      <c r="M43" s="65" t="s">
        <v>45</v>
      </c>
      <c r="N43" s="159"/>
      <c r="O43" s="159"/>
      <c r="P43" s="75" t="s">
        <v>34</v>
      </c>
      <c r="Q43" s="163"/>
    </row>
    <row r="44" spans="2:17" ht="30" customHeight="1" x14ac:dyDescent="0.3">
      <c r="B44" s="87">
        <f t="shared" ref="B44" si="8">B32+1</f>
        <v>4</v>
      </c>
      <c r="C44" s="159" t="str">
        <f t="shared" ref="C44" si="9">N44&amp;" - PLC"</f>
        <v>VTP-03/FCMA SS - PLC</v>
      </c>
      <c r="D44" s="89" t="s">
        <v>200</v>
      </c>
      <c r="E44" s="67" t="s">
        <v>13</v>
      </c>
      <c r="F44" s="77">
        <v>1</v>
      </c>
      <c r="G44" s="80">
        <v>2</v>
      </c>
      <c r="H44" s="69" t="str">
        <f t="shared" si="2"/>
        <v>1T0102</v>
      </c>
      <c r="I44" s="65">
        <v>9</v>
      </c>
      <c r="J44" s="65" t="str">
        <f t="shared" si="3"/>
        <v>9-1T0102/*-*</v>
      </c>
      <c r="K44" s="65" t="s">
        <v>33</v>
      </c>
      <c r="L44" s="65" t="s">
        <v>33</v>
      </c>
      <c r="M44" s="65" t="str">
        <f t="shared" si="4"/>
        <v>*-*/1T0102-9</v>
      </c>
      <c r="N44" s="159" t="s">
        <v>221</v>
      </c>
      <c r="O44" s="159" t="s">
        <v>206</v>
      </c>
      <c r="P44" s="68" t="s">
        <v>41</v>
      </c>
      <c r="Q44" s="161" t="str" cm="1">
        <f t="array" ref="Q44">UPPER(
   "In PLC side, " &amp;
   _xlfn.TEXTJOIN(", ", TRUE,
      H44:INDEX(H44:H55, MATCH("COMMON",P44:P55,0)-2) &amp;
      ": " &amp;
      (I44:INDEX(I44:I55, MATCH("COMMON",P44:P55,0)-2)+1)
   ) &amp;
   " &amp; " &amp;
   INDEX(H44:H55, MATCH("COMMON",P44:P55,0)-1) &amp; ": " &amp;
   INDEX(I44:I55, MATCH("COMMON",P44:P55,0)-1)+1 &amp;
   " are already looped"
)</f>
        <v>IN PLC SIDE, 1T0102: 10, 1T0102: 12, 1T0102: 14 &amp; 1T0102: 16 ARE ALREADY LOOPED</v>
      </c>
    </row>
    <row r="45" spans="2:17" ht="30" customHeight="1" x14ac:dyDescent="0.3">
      <c r="B45" s="87"/>
      <c r="C45" s="159"/>
      <c r="D45" s="89"/>
      <c r="E45" s="67" t="s">
        <v>14</v>
      </c>
      <c r="F45" s="77">
        <v>1</v>
      </c>
      <c r="G45" s="80">
        <v>2</v>
      </c>
      <c r="H45" s="69" t="str">
        <f t="shared" si="2"/>
        <v>1T0102</v>
      </c>
      <c r="I45" s="65">
        <f>I44+2</f>
        <v>11</v>
      </c>
      <c r="J45" s="65" t="str">
        <f t="shared" si="3"/>
        <v>11-1T0102/*-*</v>
      </c>
      <c r="K45" s="65" t="s">
        <v>33</v>
      </c>
      <c r="L45" s="65" t="s">
        <v>33</v>
      </c>
      <c r="M45" s="65" t="str">
        <f t="shared" si="4"/>
        <v>*-*/1T0102-11</v>
      </c>
      <c r="N45" s="159"/>
      <c r="O45" s="159"/>
      <c r="P45" s="68" t="s">
        <v>42</v>
      </c>
      <c r="Q45" s="162"/>
    </row>
    <row r="46" spans="2:17" ht="30" customHeight="1" x14ac:dyDescent="0.3">
      <c r="B46" s="87"/>
      <c r="C46" s="159"/>
      <c r="D46" s="89"/>
      <c r="E46" s="67" t="s">
        <v>15</v>
      </c>
      <c r="F46" s="77">
        <v>1</v>
      </c>
      <c r="G46" s="80">
        <v>2</v>
      </c>
      <c r="H46" s="69" t="str">
        <f t="shared" si="2"/>
        <v>1T0102</v>
      </c>
      <c r="I46" s="65">
        <f>I45+2</f>
        <v>13</v>
      </c>
      <c r="J46" s="65" t="str">
        <f t="shared" si="3"/>
        <v>13-1T0102/*-*</v>
      </c>
      <c r="K46" s="65" t="s">
        <v>33</v>
      </c>
      <c r="L46" s="65" t="s">
        <v>33</v>
      </c>
      <c r="M46" s="65" t="str">
        <f t="shared" si="4"/>
        <v>*-*/1T0102-13</v>
      </c>
      <c r="N46" s="159"/>
      <c r="O46" s="159"/>
      <c r="P46" s="68" t="s">
        <v>262</v>
      </c>
      <c r="Q46" s="162"/>
    </row>
    <row r="47" spans="2:17" ht="30" customHeight="1" x14ac:dyDescent="0.3">
      <c r="B47" s="87"/>
      <c r="C47" s="159"/>
      <c r="D47" s="89"/>
      <c r="E47" s="67" t="s">
        <v>16</v>
      </c>
      <c r="F47" s="77">
        <v>1</v>
      </c>
      <c r="G47" s="80">
        <v>2</v>
      </c>
      <c r="H47" s="69" t="str">
        <f t="shared" si="2"/>
        <v>1T0102</v>
      </c>
      <c r="I47" s="65">
        <f>I46+2</f>
        <v>15</v>
      </c>
      <c r="J47" s="65" t="str">
        <f t="shared" si="3"/>
        <v>15-1T0102/*-*</v>
      </c>
      <c r="K47" s="65" t="s">
        <v>33</v>
      </c>
      <c r="L47" s="65" t="s">
        <v>33</v>
      </c>
      <c r="M47" s="65" t="str">
        <f t="shared" si="4"/>
        <v>*-*/1T0102-15</v>
      </c>
      <c r="N47" s="159"/>
      <c r="O47" s="159"/>
      <c r="P47" s="68" t="s">
        <v>263</v>
      </c>
      <c r="Q47" s="162"/>
    </row>
    <row r="48" spans="2:17" ht="30" customHeight="1" x14ac:dyDescent="0.3">
      <c r="B48" s="87"/>
      <c r="C48" s="159"/>
      <c r="D48" s="89"/>
      <c r="E48" s="67" t="s">
        <v>17</v>
      </c>
      <c r="F48" s="77">
        <v>1</v>
      </c>
      <c r="G48" s="80">
        <v>2</v>
      </c>
      <c r="H48" s="69" t="str">
        <f t="shared" si="2"/>
        <v>1T0102</v>
      </c>
      <c r="I48" s="65">
        <f>I47+1</f>
        <v>16</v>
      </c>
      <c r="J48" s="65" t="str">
        <f t="shared" si="3"/>
        <v>16-1T0102/*-*</v>
      </c>
      <c r="K48" s="65" t="s">
        <v>33</v>
      </c>
      <c r="L48" s="65" t="s">
        <v>33</v>
      </c>
      <c r="M48" s="65" t="str">
        <f t="shared" si="4"/>
        <v>*-*/1T0102-16</v>
      </c>
      <c r="N48" s="159"/>
      <c r="O48" s="159"/>
      <c r="P48" s="68" t="s">
        <v>31</v>
      </c>
      <c r="Q48" s="163"/>
    </row>
    <row r="49" spans="2:17" ht="30" customHeight="1" x14ac:dyDescent="0.3">
      <c r="B49" s="87"/>
      <c r="C49" s="159"/>
      <c r="D49" s="89"/>
      <c r="E49" s="67" t="s">
        <v>18</v>
      </c>
      <c r="F49" s="77">
        <v>4</v>
      </c>
      <c r="G49" s="80">
        <v>0</v>
      </c>
      <c r="H49" s="69" t="str">
        <f t="shared" si="2"/>
        <v>1T0400</v>
      </c>
      <c r="I49" s="65">
        <v>21</v>
      </c>
      <c r="J49" s="65" t="str">
        <f t="shared" si="3"/>
        <v>21-1T0400/*-*</v>
      </c>
      <c r="K49" s="65" t="s">
        <v>33</v>
      </c>
      <c r="L49" s="65" t="s">
        <v>33</v>
      </c>
      <c r="M49" s="65" t="str">
        <f t="shared" si="4"/>
        <v>*-*/1T0400-21</v>
      </c>
      <c r="N49" s="159"/>
      <c r="O49" s="159"/>
      <c r="P49" s="68" t="s">
        <v>225</v>
      </c>
      <c r="Q49" s="161" t="str" cm="1">
        <f t="array" ref="Q49">UPPER(
   "In PLC side, " &amp;
   _xlfn.TEXTJOIN(", ", TRUE,
      H49:INDEX(H49:H58, MATCH("COMMON",P49:P58,0)-2) &amp;
      ": " &amp;
      (I49:INDEX(I49:I58, MATCH("COMMON",P49:P58,0)-2)+1)
   ) &amp;
   " &amp; " &amp;
   INDEX(H49:H58, MATCH("COMMON",P49:P58,0)-1) &amp; ": " &amp;
   INDEX(I49:I58, MATCH("COMMON",P49:P58,0)-1)+1 &amp;
   " are already looped"
)</f>
        <v>IN PLC SIDE, 1T0400: 22 &amp; 1T0400: 24 ARE ALREADY LOOPED</v>
      </c>
    </row>
    <row r="50" spans="2:17" ht="30" customHeight="1" x14ac:dyDescent="0.45">
      <c r="B50" s="87"/>
      <c r="C50" s="159"/>
      <c r="D50" s="89"/>
      <c r="E50" s="67" t="s">
        <v>19</v>
      </c>
      <c r="F50" s="77">
        <v>4</v>
      </c>
      <c r="G50" s="80">
        <v>0</v>
      </c>
      <c r="H50" s="69" t="str">
        <f t="shared" si="2"/>
        <v>1T0400</v>
      </c>
      <c r="I50" s="65">
        <f>I49+2</f>
        <v>23</v>
      </c>
      <c r="J50" s="65" t="str">
        <f t="shared" si="3"/>
        <v>23-1T0400/*-*</v>
      </c>
      <c r="K50" s="65" t="s">
        <v>33</v>
      </c>
      <c r="L50" s="65" t="s">
        <v>33</v>
      </c>
      <c r="M50" s="65" t="str">
        <f t="shared" si="4"/>
        <v>*-*/1T0400-23</v>
      </c>
      <c r="N50" s="159"/>
      <c r="O50" s="159"/>
      <c r="P50" s="75" t="s">
        <v>226</v>
      </c>
      <c r="Q50" s="162"/>
    </row>
    <row r="51" spans="2:17" ht="30" customHeight="1" x14ac:dyDescent="0.3">
      <c r="B51" s="87"/>
      <c r="C51" s="159"/>
      <c r="D51" s="89"/>
      <c r="E51" s="67" t="s">
        <v>20</v>
      </c>
      <c r="F51" s="77">
        <v>4</v>
      </c>
      <c r="G51" s="80">
        <v>0</v>
      </c>
      <c r="H51" s="69" t="str">
        <f t="shared" si="2"/>
        <v>1T0400</v>
      </c>
      <c r="I51" s="65">
        <f>I50+1</f>
        <v>24</v>
      </c>
      <c r="J51" s="65" t="str">
        <f t="shared" si="3"/>
        <v>24-1T0400/*-*</v>
      </c>
      <c r="K51" s="65" t="s">
        <v>33</v>
      </c>
      <c r="L51" s="65" t="s">
        <v>33</v>
      </c>
      <c r="M51" s="65" t="str">
        <f t="shared" si="4"/>
        <v>*-*/1T0400-24</v>
      </c>
      <c r="N51" s="159"/>
      <c r="O51" s="159"/>
      <c r="P51" s="68" t="s">
        <v>31</v>
      </c>
      <c r="Q51" s="162"/>
    </row>
    <row r="52" spans="2:17" ht="30" customHeight="1" x14ac:dyDescent="0.3">
      <c r="B52" s="87"/>
      <c r="C52" s="159"/>
      <c r="D52" s="89"/>
      <c r="E52" s="67" t="s">
        <v>21</v>
      </c>
      <c r="F52" s="77" t="s">
        <v>45</v>
      </c>
      <c r="G52" s="80" t="s">
        <v>45</v>
      </c>
      <c r="H52" s="69" t="s">
        <v>45</v>
      </c>
      <c r="I52" s="65" t="s">
        <v>45</v>
      </c>
      <c r="J52" s="65" t="s">
        <v>45</v>
      </c>
      <c r="K52" s="65" t="s">
        <v>45</v>
      </c>
      <c r="L52" s="65" t="s">
        <v>45</v>
      </c>
      <c r="M52" s="65" t="s">
        <v>45</v>
      </c>
      <c r="N52" s="159"/>
      <c r="O52" s="159"/>
      <c r="P52" s="68" t="s">
        <v>34</v>
      </c>
      <c r="Q52" s="162"/>
    </row>
    <row r="53" spans="2:17" ht="30" customHeight="1" x14ac:dyDescent="0.3">
      <c r="B53" s="87"/>
      <c r="C53" s="159"/>
      <c r="D53" s="89"/>
      <c r="E53" s="67" t="s">
        <v>30</v>
      </c>
      <c r="F53" s="77" t="s">
        <v>45</v>
      </c>
      <c r="G53" s="80" t="s">
        <v>45</v>
      </c>
      <c r="H53" s="69" t="s">
        <v>45</v>
      </c>
      <c r="I53" s="65" t="s">
        <v>45</v>
      </c>
      <c r="J53" s="65" t="s">
        <v>45</v>
      </c>
      <c r="K53" s="65" t="s">
        <v>45</v>
      </c>
      <c r="L53" s="65" t="s">
        <v>45</v>
      </c>
      <c r="M53" s="65" t="s">
        <v>45</v>
      </c>
      <c r="N53" s="159"/>
      <c r="O53" s="159"/>
      <c r="P53" s="68" t="s">
        <v>34</v>
      </c>
      <c r="Q53" s="163"/>
    </row>
    <row r="54" spans="2:17" ht="30" customHeight="1" x14ac:dyDescent="0.3">
      <c r="B54" s="87">
        <f>B44+1</f>
        <v>5</v>
      </c>
      <c r="C54" s="159" t="str">
        <f t="shared" ref="C54" si="10">N54&amp;" - PLC"</f>
        <v>VTP-04/HT - PLC</v>
      </c>
      <c r="D54" s="89" t="s">
        <v>201</v>
      </c>
      <c r="E54" s="67" t="s">
        <v>13</v>
      </c>
      <c r="F54" s="77">
        <v>1</v>
      </c>
      <c r="G54" s="80">
        <v>2</v>
      </c>
      <c r="H54" s="69" t="str">
        <f t="shared" si="2"/>
        <v>1T0102</v>
      </c>
      <c r="I54" s="65">
        <v>17</v>
      </c>
      <c r="J54" s="65" t="str">
        <f t="shared" si="3"/>
        <v>17-1T0102/*-*</v>
      </c>
      <c r="K54" s="65" t="s">
        <v>33</v>
      </c>
      <c r="L54" s="65" t="s">
        <v>33</v>
      </c>
      <c r="M54" s="65" t="str">
        <f t="shared" si="4"/>
        <v>*-*/1T0102-17</v>
      </c>
      <c r="N54" s="159" t="s">
        <v>227</v>
      </c>
      <c r="O54" s="159" t="s">
        <v>207</v>
      </c>
      <c r="P54" s="68" t="s">
        <v>41</v>
      </c>
      <c r="Q54" s="89" t="str" cm="1">
        <f t="array" ref="Q54">UPPER(
   "In PLC side, " &amp;
   _xlfn.TEXTJOIN(", ", TRUE,
      H54:INDEX(H54:H65, MATCH("COMMON",P54:P65,0)-2) &amp;
      ": " &amp;
      (I54:INDEX(I54:I65, MATCH("COMMON",P54:P65,0)-2)+1)
   ) &amp;
   " &amp; " &amp;
   INDEX(H54:H65, MATCH("COMMON",P54:P65,0)-1) &amp; ": " &amp;
   INDEX(I54:I65, MATCH("COMMON",P54:P65,0)-1)+1 &amp;
   " are already looped"
)</f>
        <v>IN PLC SIDE, 1T0102: 18, 1T0102: 20, 1T0102: 22, 1T0102: 24, 1T0102: 26 &amp; 1T0103: 2 ARE ALREADY LOOPED</v>
      </c>
    </row>
    <row r="55" spans="2:17" ht="30" customHeight="1" x14ac:dyDescent="0.3">
      <c r="B55" s="87"/>
      <c r="C55" s="159"/>
      <c r="D55" s="89"/>
      <c r="E55" s="67" t="s">
        <v>14</v>
      </c>
      <c r="F55" s="77">
        <v>1</v>
      </c>
      <c r="G55" s="80">
        <v>2</v>
      </c>
      <c r="H55" s="69" t="str">
        <f t="shared" si="2"/>
        <v>1T0102</v>
      </c>
      <c r="I55" s="65">
        <f>I54+2</f>
        <v>19</v>
      </c>
      <c r="J55" s="65" t="str">
        <f t="shared" si="3"/>
        <v>19-1T0102/*-*</v>
      </c>
      <c r="K55" s="65" t="s">
        <v>33</v>
      </c>
      <c r="L55" s="65" t="s">
        <v>33</v>
      </c>
      <c r="M55" s="65" t="str">
        <f t="shared" si="4"/>
        <v>*-*/1T0102-19</v>
      </c>
      <c r="N55" s="159"/>
      <c r="O55" s="159"/>
      <c r="P55" s="68" t="s">
        <v>42</v>
      </c>
      <c r="Q55" s="89"/>
    </row>
    <row r="56" spans="2:17" ht="30" customHeight="1" x14ac:dyDescent="0.3">
      <c r="B56" s="87"/>
      <c r="C56" s="159"/>
      <c r="D56" s="89"/>
      <c r="E56" s="67" t="s">
        <v>15</v>
      </c>
      <c r="F56" s="77">
        <v>1</v>
      </c>
      <c r="G56" s="80">
        <v>2</v>
      </c>
      <c r="H56" s="69" t="str">
        <f t="shared" si="2"/>
        <v>1T0102</v>
      </c>
      <c r="I56" s="65">
        <f>I55+2</f>
        <v>21</v>
      </c>
      <c r="J56" s="65" t="str">
        <f t="shared" si="3"/>
        <v>21-1T0102/*-*</v>
      </c>
      <c r="K56" s="65" t="s">
        <v>33</v>
      </c>
      <c r="L56" s="65" t="s">
        <v>33</v>
      </c>
      <c r="M56" s="65" t="str">
        <f t="shared" si="4"/>
        <v>*-*/1T0102-21</v>
      </c>
      <c r="N56" s="159"/>
      <c r="O56" s="159"/>
      <c r="P56" s="68" t="s">
        <v>262</v>
      </c>
      <c r="Q56" s="89"/>
    </row>
    <row r="57" spans="2:17" ht="30" customHeight="1" x14ac:dyDescent="0.3">
      <c r="B57" s="87"/>
      <c r="C57" s="159"/>
      <c r="D57" s="89"/>
      <c r="E57" s="67" t="s">
        <v>16</v>
      </c>
      <c r="F57" s="77">
        <v>1</v>
      </c>
      <c r="G57" s="80">
        <v>2</v>
      </c>
      <c r="H57" s="69" t="str">
        <f t="shared" si="2"/>
        <v>1T0102</v>
      </c>
      <c r="I57" s="65">
        <f>I56+2</f>
        <v>23</v>
      </c>
      <c r="J57" s="65" t="str">
        <f t="shared" si="3"/>
        <v>23-1T0102/*-*</v>
      </c>
      <c r="K57" s="65" t="s">
        <v>33</v>
      </c>
      <c r="L57" s="65" t="s">
        <v>33</v>
      </c>
      <c r="M57" s="65" t="str">
        <f t="shared" si="4"/>
        <v>*-*/1T0102-23</v>
      </c>
      <c r="N57" s="159"/>
      <c r="O57" s="159"/>
      <c r="P57" s="68" t="s">
        <v>263</v>
      </c>
      <c r="Q57" s="89"/>
    </row>
    <row r="58" spans="2:17" ht="30" customHeight="1" x14ac:dyDescent="0.3">
      <c r="B58" s="87"/>
      <c r="C58" s="159"/>
      <c r="D58" s="89"/>
      <c r="E58" s="67" t="s">
        <v>17</v>
      </c>
      <c r="F58" s="77">
        <v>1</v>
      </c>
      <c r="G58" s="80">
        <v>2</v>
      </c>
      <c r="H58" s="69" t="str">
        <f t="shared" si="2"/>
        <v>1T0102</v>
      </c>
      <c r="I58" s="65">
        <f>I57+2</f>
        <v>25</v>
      </c>
      <c r="J58" s="65" t="str">
        <f t="shared" si="3"/>
        <v>25-1T0102/*-*</v>
      </c>
      <c r="K58" s="65" t="s">
        <v>33</v>
      </c>
      <c r="L58" s="65" t="s">
        <v>33</v>
      </c>
      <c r="M58" s="65" t="str">
        <f t="shared" si="4"/>
        <v>*-*/1T0102-25</v>
      </c>
      <c r="N58" s="159"/>
      <c r="O58" s="159"/>
      <c r="P58" s="68" t="s">
        <v>264</v>
      </c>
      <c r="Q58" s="89"/>
    </row>
    <row r="59" spans="2:17" ht="30" customHeight="1" x14ac:dyDescent="0.3">
      <c r="B59" s="87"/>
      <c r="C59" s="159"/>
      <c r="D59" s="89"/>
      <c r="E59" s="67" t="s">
        <v>18</v>
      </c>
      <c r="F59" s="77">
        <v>1</v>
      </c>
      <c r="G59" s="80">
        <v>3</v>
      </c>
      <c r="H59" s="69" t="str">
        <f t="shared" si="2"/>
        <v>1T0103</v>
      </c>
      <c r="I59" s="65">
        <v>1</v>
      </c>
      <c r="J59" s="65" t="str">
        <f t="shared" si="3"/>
        <v>1-1T0103/*-*</v>
      </c>
      <c r="K59" s="65" t="s">
        <v>33</v>
      </c>
      <c r="L59" s="65" t="s">
        <v>33</v>
      </c>
      <c r="M59" s="65" t="str">
        <f t="shared" si="4"/>
        <v>*-*/1T0103-1</v>
      </c>
      <c r="N59" s="159"/>
      <c r="O59" s="159"/>
      <c r="P59" s="68" t="s">
        <v>265</v>
      </c>
      <c r="Q59" s="89"/>
    </row>
    <row r="60" spans="2:17" ht="30" customHeight="1" x14ac:dyDescent="0.45">
      <c r="B60" s="87"/>
      <c r="C60" s="159"/>
      <c r="D60" s="89"/>
      <c r="E60" s="67" t="s">
        <v>19</v>
      </c>
      <c r="F60" s="77">
        <v>1</v>
      </c>
      <c r="G60" s="80">
        <v>3</v>
      </c>
      <c r="H60" s="69" t="str">
        <f t="shared" si="2"/>
        <v>1T0103</v>
      </c>
      <c r="I60" s="65">
        <f>I59+1</f>
        <v>2</v>
      </c>
      <c r="J60" s="65" t="str">
        <f t="shared" si="3"/>
        <v>2-1T0103/*-*</v>
      </c>
      <c r="K60" s="65" t="s">
        <v>33</v>
      </c>
      <c r="L60" s="65" t="s">
        <v>33</v>
      </c>
      <c r="M60" s="65" t="str">
        <f t="shared" si="4"/>
        <v>*-*/1T0103-2</v>
      </c>
      <c r="N60" s="159"/>
      <c r="O60" s="159"/>
      <c r="P60" s="75" t="s">
        <v>31</v>
      </c>
      <c r="Q60" s="89"/>
    </row>
    <row r="61" spans="2:17" ht="30" customHeight="1" x14ac:dyDescent="0.3">
      <c r="B61" s="87"/>
      <c r="C61" s="159"/>
      <c r="D61" s="89"/>
      <c r="E61" s="67" t="s">
        <v>20</v>
      </c>
      <c r="F61" s="77">
        <v>4</v>
      </c>
      <c r="G61" s="80">
        <v>0</v>
      </c>
      <c r="H61" s="69" t="str">
        <f t="shared" si="2"/>
        <v>1T0400</v>
      </c>
      <c r="I61" s="65">
        <v>25</v>
      </c>
      <c r="J61" s="65" t="str">
        <f t="shared" si="3"/>
        <v>25-1T0400/*-*</v>
      </c>
      <c r="K61" s="65" t="s">
        <v>33</v>
      </c>
      <c r="L61" s="65" t="s">
        <v>33</v>
      </c>
      <c r="M61" s="65" t="str">
        <f t="shared" si="4"/>
        <v>*-*/1T0400-25</v>
      </c>
      <c r="N61" s="159"/>
      <c r="O61" s="159"/>
      <c r="P61" s="68" t="s">
        <v>225</v>
      </c>
      <c r="Q61" s="161" t="str" cm="1">
        <f t="array" ref="Q61">UPPER(
   "In PLC side, " &amp;
   _xlfn.TEXTJOIN(", ", TRUE,
      H61:INDEX(H61:H70, MATCH("COMMON",P61:P70,0)-2) &amp;
      ": " &amp;
      (I61:INDEX(I61:I70, MATCH("COMMON",P61:P70,0)-2)+1)
   ) &amp;
   " &amp; " &amp;
   INDEX(H61:H70, MATCH("COMMON",P61:P70,0)-1) &amp; ": " &amp;
   INDEX(I61:I70, MATCH("COMMON",P61:P70,0)-1)+1 &amp;
   " are already looped"
)</f>
        <v>IN PLC SIDE, 1T0400: 26 &amp; 1T0401: 2 ARE ALREADY LOOPED</v>
      </c>
    </row>
    <row r="62" spans="2:17" ht="30" customHeight="1" x14ac:dyDescent="0.3">
      <c r="B62" s="87"/>
      <c r="C62" s="159"/>
      <c r="D62" s="89"/>
      <c r="E62" s="67" t="s">
        <v>21</v>
      </c>
      <c r="F62" s="77">
        <v>4</v>
      </c>
      <c r="G62" s="80">
        <v>1</v>
      </c>
      <c r="H62" s="69" t="str">
        <f t="shared" si="2"/>
        <v>1T0401</v>
      </c>
      <c r="I62" s="65">
        <v>1</v>
      </c>
      <c r="J62" s="65" t="str">
        <f t="shared" si="3"/>
        <v>1-1T0401/*-*</v>
      </c>
      <c r="K62" s="65" t="s">
        <v>33</v>
      </c>
      <c r="L62" s="65" t="s">
        <v>33</v>
      </c>
      <c r="M62" s="65" t="str">
        <f t="shared" si="4"/>
        <v>*-*/1T0401-1</v>
      </c>
      <c r="N62" s="159"/>
      <c r="O62" s="159"/>
      <c r="P62" s="68" t="s">
        <v>226</v>
      </c>
      <c r="Q62" s="162"/>
    </row>
    <row r="63" spans="2:17" ht="30" customHeight="1" x14ac:dyDescent="0.3">
      <c r="B63" s="87"/>
      <c r="C63" s="159"/>
      <c r="D63" s="89"/>
      <c r="E63" s="67" t="s">
        <v>30</v>
      </c>
      <c r="F63" s="77">
        <v>4</v>
      </c>
      <c r="G63" s="80">
        <v>1</v>
      </c>
      <c r="H63" s="69" t="str">
        <f t="shared" si="2"/>
        <v>1T0401</v>
      </c>
      <c r="I63" s="65">
        <f>I62+1</f>
        <v>2</v>
      </c>
      <c r="J63" s="65" t="str">
        <f t="shared" si="3"/>
        <v>2-1T0401/*-*</v>
      </c>
      <c r="K63" s="65" t="s">
        <v>33</v>
      </c>
      <c r="L63" s="65" t="s">
        <v>33</v>
      </c>
      <c r="M63" s="65" t="str">
        <f t="shared" si="4"/>
        <v>*-*/1T0401-2</v>
      </c>
      <c r="N63" s="159"/>
      <c r="O63" s="159"/>
      <c r="P63" s="68" t="s">
        <v>31</v>
      </c>
      <c r="Q63" s="162"/>
    </row>
    <row r="64" spans="2:17" ht="30" customHeight="1" x14ac:dyDescent="0.3">
      <c r="B64" s="87"/>
      <c r="C64" s="159"/>
      <c r="D64" s="89"/>
      <c r="E64" s="65" t="s">
        <v>323</v>
      </c>
      <c r="F64" s="77" t="s">
        <v>45</v>
      </c>
      <c r="G64" s="80" t="s">
        <v>45</v>
      </c>
      <c r="H64" s="69" t="s">
        <v>45</v>
      </c>
      <c r="I64" s="65" t="s">
        <v>45</v>
      </c>
      <c r="J64" s="65" t="s">
        <v>45</v>
      </c>
      <c r="K64" s="65" t="s">
        <v>45</v>
      </c>
      <c r="L64" s="65" t="s">
        <v>45</v>
      </c>
      <c r="M64" s="65" t="s">
        <v>45</v>
      </c>
      <c r="N64" s="159"/>
      <c r="O64" s="159"/>
      <c r="P64" s="68" t="s">
        <v>34</v>
      </c>
      <c r="Q64" s="162"/>
    </row>
    <row r="65" spans="2:17" ht="30" customHeight="1" x14ac:dyDescent="0.45">
      <c r="B65" s="87"/>
      <c r="C65" s="159"/>
      <c r="D65" s="89"/>
      <c r="E65" s="65" t="s">
        <v>324</v>
      </c>
      <c r="F65" s="77" t="s">
        <v>45</v>
      </c>
      <c r="G65" s="80" t="s">
        <v>45</v>
      </c>
      <c r="H65" s="69" t="s">
        <v>45</v>
      </c>
      <c r="I65" s="65" t="s">
        <v>45</v>
      </c>
      <c r="J65" s="65" t="s">
        <v>45</v>
      </c>
      <c r="K65" s="65" t="s">
        <v>45</v>
      </c>
      <c r="L65" s="65" t="s">
        <v>45</v>
      </c>
      <c r="M65" s="65" t="s">
        <v>45</v>
      </c>
      <c r="N65" s="159"/>
      <c r="O65" s="159"/>
      <c r="P65" s="75" t="s">
        <v>34</v>
      </c>
      <c r="Q65" s="163"/>
    </row>
    <row r="66" spans="2:17" ht="30" customHeight="1" x14ac:dyDescent="0.3">
      <c r="B66" s="87">
        <f t="shared" ref="B66" si="11">B54+1</f>
        <v>6</v>
      </c>
      <c r="C66" s="159" t="str">
        <f t="shared" ref="C66" si="12">N66&amp;" - PLC"</f>
        <v>VTP-04/FCMA SS - PLC</v>
      </c>
      <c r="D66" s="89" t="s">
        <v>200</v>
      </c>
      <c r="E66" s="67" t="s">
        <v>13</v>
      </c>
      <c r="F66" s="77">
        <v>1</v>
      </c>
      <c r="G66" s="80">
        <v>3</v>
      </c>
      <c r="H66" s="69" t="str">
        <f t="shared" si="2"/>
        <v>1T0103</v>
      </c>
      <c r="I66" s="65">
        <v>3</v>
      </c>
      <c r="J66" s="65" t="str">
        <f t="shared" si="3"/>
        <v>3-1T0103/*-*</v>
      </c>
      <c r="K66" s="65" t="s">
        <v>33</v>
      </c>
      <c r="L66" s="65" t="s">
        <v>33</v>
      </c>
      <c r="M66" s="65" t="str">
        <f t="shared" si="4"/>
        <v>*-*/1T0103-3</v>
      </c>
      <c r="N66" s="159" t="s">
        <v>233</v>
      </c>
      <c r="O66" s="159" t="s">
        <v>207</v>
      </c>
      <c r="P66" s="68" t="s">
        <v>41</v>
      </c>
      <c r="Q66" s="161" t="str" cm="1">
        <f t="array" ref="Q66">UPPER(
   "In PLC side, " &amp;
   _xlfn.TEXTJOIN(", ", TRUE,
      H66:INDEX(H66:H77, MATCH("COMMON",P66:P77,0)-2) &amp;
      ": " &amp;
      (I66:INDEX(I66:I77, MATCH("COMMON",P66:P77,0)-2)+1)
   ) &amp;
   " &amp; " &amp;
   INDEX(H66:H77, MATCH("COMMON",P66:P77,0)-1) &amp; ": " &amp;
   INDEX(I66:I77, MATCH("COMMON",P66:P77,0)-1)+1 &amp;
   " are already looped"
)</f>
        <v>IN PLC SIDE, 1T0103: 4, 1T0103: 6, 1T0103: 8 &amp; 1T0103: 10 ARE ALREADY LOOPED</v>
      </c>
    </row>
    <row r="67" spans="2:17" ht="30" customHeight="1" x14ac:dyDescent="0.3">
      <c r="B67" s="87"/>
      <c r="C67" s="159"/>
      <c r="D67" s="89"/>
      <c r="E67" s="67" t="s">
        <v>14</v>
      </c>
      <c r="F67" s="77">
        <v>1</v>
      </c>
      <c r="G67" s="80">
        <v>3</v>
      </c>
      <c r="H67" s="69" t="str">
        <f t="shared" si="2"/>
        <v>1T0103</v>
      </c>
      <c r="I67" s="65">
        <f>I66+2</f>
        <v>5</v>
      </c>
      <c r="J67" s="65" t="str">
        <f t="shared" si="3"/>
        <v>5-1T0103/*-*</v>
      </c>
      <c r="K67" s="65" t="s">
        <v>33</v>
      </c>
      <c r="L67" s="65" t="s">
        <v>33</v>
      </c>
      <c r="M67" s="65" t="str">
        <f t="shared" si="4"/>
        <v>*-*/1T0103-5</v>
      </c>
      <c r="N67" s="159"/>
      <c r="O67" s="159"/>
      <c r="P67" s="68" t="s">
        <v>42</v>
      </c>
      <c r="Q67" s="162"/>
    </row>
    <row r="68" spans="2:17" ht="30" customHeight="1" x14ac:dyDescent="0.3">
      <c r="B68" s="87"/>
      <c r="C68" s="159"/>
      <c r="D68" s="89"/>
      <c r="E68" s="67" t="s">
        <v>15</v>
      </c>
      <c r="F68" s="77">
        <v>1</v>
      </c>
      <c r="G68" s="80">
        <v>3</v>
      </c>
      <c r="H68" s="69" t="str">
        <f t="shared" si="2"/>
        <v>1T0103</v>
      </c>
      <c r="I68" s="65">
        <f>I67+2</f>
        <v>7</v>
      </c>
      <c r="J68" s="65" t="str">
        <f t="shared" si="3"/>
        <v>7-1T0103/*-*</v>
      </c>
      <c r="K68" s="65" t="s">
        <v>33</v>
      </c>
      <c r="L68" s="65" t="s">
        <v>33</v>
      </c>
      <c r="M68" s="65" t="str">
        <f t="shared" si="4"/>
        <v>*-*/1T0103-7</v>
      </c>
      <c r="N68" s="159"/>
      <c r="O68" s="159"/>
      <c r="P68" s="68" t="s">
        <v>262</v>
      </c>
      <c r="Q68" s="162"/>
    </row>
    <row r="69" spans="2:17" ht="30" customHeight="1" x14ac:dyDescent="0.3">
      <c r="B69" s="87"/>
      <c r="C69" s="159"/>
      <c r="D69" s="89"/>
      <c r="E69" s="67" t="s">
        <v>16</v>
      </c>
      <c r="F69" s="77">
        <v>1</v>
      </c>
      <c r="G69" s="80">
        <v>3</v>
      </c>
      <c r="H69" s="69" t="str">
        <f t="shared" si="2"/>
        <v>1T0103</v>
      </c>
      <c r="I69" s="65">
        <f>I68+2</f>
        <v>9</v>
      </c>
      <c r="J69" s="65" t="str">
        <f t="shared" si="3"/>
        <v>9-1T0103/*-*</v>
      </c>
      <c r="K69" s="65" t="s">
        <v>33</v>
      </c>
      <c r="L69" s="65" t="s">
        <v>33</v>
      </c>
      <c r="M69" s="65" t="str">
        <f t="shared" si="4"/>
        <v>*-*/1T0103-9</v>
      </c>
      <c r="N69" s="159"/>
      <c r="O69" s="159"/>
      <c r="P69" s="68" t="s">
        <v>263</v>
      </c>
      <c r="Q69" s="162"/>
    </row>
    <row r="70" spans="2:17" ht="30" customHeight="1" x14ac:dyDescent="0.3">
      <c r="B70" s="87"/>
      <c r="C70" s="159"/>
      <c r="D70" s="89"/>
      <c r="E70" s="67" t="s">
        <v>17</v>
      </c>
      <c r="F70" s="77">
        <v>1</v>
      </c>
      <c r="G70" s="80">
        <v>3</v>
      </c>
      <c r="H70" s="69" t="str">
        <f t="shared" si="2"/>
        <v>1T0103</v>
      </c>
      <c r="I70" s="65">
        <f>I69+1</f>
        <v>10</v>
      </c>
      <c r="J70" s="65" t="str">
        <f t="shared" si="3"/>
        <v>10-1T0103/*-*</v>
      </c>
      <c r="K70" s="65" t="s">
        <v>33</v>
      </c>
      <c r="L70" s="65" t="s">
        <v>33</v>
      </c>
      <c r="M70" s="65" t="str">
        <f t="shared" si="4"/>
        <v>*-*/1T0103-10</v>
      </c>
      <c r="N70" s="159"/>
      <c r="O70" s="159"/>
      <c r="P70" s="68" t="s">
        <v>31</v>
      </c>
      <c r="Q70" s="163"/>
    </row>
    <row r="71" spans="2:17" ht="30" customHeight="1" x14ac:dyDescent="0.3">
      <c r="B71" s="87"/>
      <c r="C71" s="159"/>
      <c r="D71" s="89"/>
      <c r="E71" s="67" t="s">
        <v>18</v>
      </c>
      <c r="F71" s="77">
        <v>4</v>
      </c>
      <c r="G71" s="80">
        <v>1</v>
      </c>
      <c r="H71" s="69" t="str">
        <f t="shared" si="2"/>
        <v>1T0401</v>
      </c>
      <c r="I71" s="65">
        <v>3</v>
      </c>
      <c r="J71" s="65" t="str">
        <f t="shared" si="3"/>
        <v>3-1T0401/*-*</v>
      </c>
      <c r="K71" s="65" t="s">
        <v>33</v>
      </c>
      <c r="L71" s="65" t="s">
        <v>33</v>
      </c>
      <c r="M71" s="65" t="str">
        <f t="shared" si="4"/>
        <v>*-*/1T0401-3</v>
      </c>
      <c r="N71" s="159"/>
      <c r="O71" s="159"/>
      <c r="P71" s="68" t="s">
        <v>225</v>
      </c>
      <c r="Q71" s="161" t="str" cm="1">
        <f t="array" ref="Q71">UPPER(
   "In PLC side, " &amp;
   _xlfn.TEXTJOIN(", ", TRUE,
      H71:INDEX(H71:H80, MATCH("COMMON",P71:P80,0)-2) &amp;
      ": " &amp;
      (I71:INDEX(I71:I80, MATCH("COMMON",P71:P80,0)-2)+1)
   ) &amp;
   " &amp; " &amp;
   INDEX(H71:H80, MATCH("COMMON",P71:P80,0)-1) &amp; ": " &amp;
   INDEX(I71:I80, MATCH("COMMON",P71:P80,0)-1)+1 &amp;
   " are already looped"
)</f>
        <v>IN PLC SIDE, 1T0401: 4 &amp; 1T0401: 6 ARE ALREADY LOOPED</v>
      </c>
    </row>
    <row r="72" spans="2:17" ht="30" customHeight="1" x14ac:dyDescent="0.45">
      <c r="B72" s="87"/>
      <c r="C72" s="159"/>
      <c r="D72" s="89"/>
      <c r="E72" s="67" t="s">
        <v>19</v>
      </c>
      <c r="F72" s="77">
        <v>4</v>
      </c>
      <c r="G72" s="80">
        <v>1</v>
      </c>
      <c r="H72" s="69" t="str">
        <f t="shared" si="2"/>
        <v>1T0401</v>
      </c>
      <c r="I72" s="65">
        <f>I71+2</f>
        <v>5</v>
      </c>
      <c r="J72" s="65" t="str">
        <f t="shared" si="3"/>
        <v>5-1T0401/*-*</v>
      </c>
      <c r="K72" s="65" t="s">
        <v>33</v>
      </c>
      <c r="L72" s="65" t="s">
        <v>33</v>
      </c>
      <c r="M72" s="65" t="str">
        <f t="shared" si="4"/>
        <v>*-*/1T0401-5</v>
      </c>
      <c r="N72" s="159"/>
      <c r="O72" s="159"/>
      <c r="P72" s="75" t="s">
        <v>226</v>
      </c>
      <c r="Q72" s="162"/>
    </row>
    <row r="73" spans="2:17" ht="30" customHeight="1" x14ac:dyDescent="0.3">
      <c r="B73" s="87"/>
      <c r="C73" s="159"/>
      <c r="D73" s="89"/>
      <c r="E73" s="67" t="s">
        <v>20</v>
      </c>
      <c r="F73" s="77">
        <v>4</v>
      </c>
      <c r="G73" s="80">
        <v>1</v>
      </c>
      <c r="H73" s="69" t="str">
        <f t="shared" ref="H73:H136" si="13">"1T"&amp;TEXT(F73,"00")&amp;TEXT(G73,"00")</f>
        <v>1T0401</v>
      </c>
      <c r="I73" s="65">
        <f>I72+1</f>
        <v>6</v>
      </c>
      <c r="J73" s="65" t="str">
        <f t="shared" ref="J73:J136" si="14">CONCATENATE(I73,"-",H73,"/",K73,"-",L73)</f>
        <v>6-1T0401/*-*</v>
      </c>
      <c r="K73" s="65" t="s">
        <v>33</v>
      </c>
      <c r="L73" s="65" t="s">
        <v>33</v>
      </c>
      <c r="M73" s="65" t="str">
        <f t="shared" ref="M73:M136" si="15">CONCATENATE(L73,"-",K73,"/",H73,"-",I73)</f>
        <v>*-*/1T0401-6</v>
      </c>
      <c r="N73" s="159"/>
      <c r="O73" s="159"/>
      <c r="P73" s="68" t="s">
        <v>31</v>
      </c>
      <c r="Q73" s="162"/>
    </row>
    <row r="74" spans="2:17" ht="30" customHeight="1" x14ac:dyDescent="0.3">
      <c r="B74" s="87"/>
      <c r="C74" s="159"/>
      <c r="D74" s="89"/>
      <c r="E74" s="67" t="s">
        <v>21</v>
      </c>
      <c r="F74" s="77" t="s">
        <v>45</v>
      </c>
      <c r="G74" s="80" t="s">
        <v>45</v>
      </c>
      <c r="H74" s="69" t="s">
        <v>45</v>
      </c>
      <c r="I74" s="65" t="s">
        <v>45</v>
      </c>
      <c r="J74" s="65" t="s">
        <v>45</v>
      </c>
      <c r="K74" s="65" t="s">
        <v>45</v>
      </c>
      <c r="L74" s="65" t="s">
        <v>45</v>
      </c>
      <c r="M74" s="65" t="s">
        <v>45</v>
      </c>
      <c r="N74" s="159"/>
      <c r="O74" s="159"/>
      <c r="P74" s="68" t="s">
        <v>34</v>
      </c>
      <c r="Q74" s="162"/>
    </row>
    <row r="75" spans="2:17" ht="30" customHeight="1" x14ac:dyDescent="0.3">
      <c r="B75" s="87"/>
      <c r="C75" s="159"/>
      <c r="D75" s="89"/>
      <c r="E75" s="67" t="s">
        <v>30</v>
      </c>
      <c r="F75" s="77" t="s">
        <v>45</v>
      </c>
      <c r="G75" s="80" t="s">
        <v>45</v>
      </c>
      <c r="H75" s="69" t="s">
        <v>45</v>
      </c>
      <c r="I75" s="65" t="s">
        <v>45</v>
      </c>
      <c r="J75" s="65" t="s">
        <v>45</v>
      </c>
      <c r="K75" s="65" t="s">
        <v>45</v>
      </c>
      <c r="L75" s="65" t="s">
        <v>45</v>
      </c>
      <c r="M75" s="65" t="s">
        <v>45</v>
      </c>
      <c r="N75" s="159"/>
      <c r="O75" s="159"/>
      <c r="P75" s="68" t="s">
        <v>34</v>
      </c>
      <c r="Q75" s="163"/>
    </row>
    <row r="76" spans="2:17" ht="30" customHeight="1" x14ac:dyDescent="0.3">
      <c r="B76" s="87">
        <f>B66+1</f>
        <v>7</v>
      </c>
      <c r="C76" s="159" t="str">
        <f t="shared" ref="C76" si="16">N76&amp;" - PLC"</f>
        <v>VTP-05/HT - PLC</v>
      </c>
      <c r="D76" s="89" t="s">
        <v>201</v>
      </c>
      <c r="E76" s="67" t="s">
        <v>13</v>
      </c>
      <c r="F76" s="77">
        <v>1</v>
      </c>
      <c r="G76" s="80">
        <v>3</v>
      </c>
      <c r="H76" s="69" t="str">
        <f t="shared" si="13"/>
        <v>1T0103</v>
      </c>
      <c r="I76" s="65">
        <v>11</v>
      </c>
      <c r="J76" s="65" t="str">
        <f t="shared" si="14"/>
        <v>11-1T0103/*-*</v>
      </c>
      <c r="K76" s="65" t="s">
        <v>33</v>
      </c>
      <c r="L76" s="65" t="s">
        <v>33</v>
      </c>
      <c r="M76" s="65" t="str">
        <f t="shared" si="15"/>
        <v>*-*/1T0103-11</v>
      </c>
      <c r="N76" s="159" t="s">
        <v>228</v>
      </c>
      <c r="O76" s="159" t="s">
        <v>208</v>
      </c>
      <c r="P76" s="68" t="s">
        <v>41</v>
      </c>
      <c r="Q76" s="89" t="str" cm="1">
        <f t="array" ref="Q76">UPPER(
   "In PLC side, " &amp;
   _xlfn.TEXTJOIN(", ", TRUE,
      H76:INDEX(H76:H87, MATCH("COMMON",P76:P87,0)-2) &amp;
      ": " &amp;
      (I76:INDEX(I76:I87, MATCH("COMMON",P76:P87,0)-2)+1)
   ) &amp;
   " &amp; " &amp;
   INDEX(H76:H87, MATCH("COMMON",P76:P87,0)-1) &amp; ": " &amp;
   INDEX(I76:I87, MATCH("COMMON",P76:P87,0)-1)+1 &amp;
   " are already looped"
)</f>
        <v>IN PLC SIDE, 1T0103: 12, 1T0103: 14, 1T0103: 16, 1T0103: 18, 1T0103: 20 &amp; 1T0103: 22 ARE ALREADY LOOPED</v>
      </c>
    </row>
    <row r="77" spans="2:17" ht="30" customHeight="1" x14ac:dyDescent="0.3">
      <c r="B77" s="87"/>
      <c r="C77" s="159"/>
      <c r="D77" s="89"/>
      <c r="E77" s="67" t="s">
        <v>14</v>
      </c>
      <c r="F77" s="77">
        <v>1</v>
      </c>
      <c r="G77" s="80">
        <v>3</v>
      </c>
      <c r="H77" s="69" t="str">
        <f t="shared" si="13"/>
        <v>1T0103</v>
      </c>
      <c r="I77" s="65">
        <f>I76+2</f>
        <v>13</v>
      </c>
      <c r="J77" s="65" t="str">
        <f t="shared" si="14"/>
        <v>13-1T0103/*-*</v>
      </c>
      <c r="K77" s="65" t="s">
        <v>33</v>
      </c>
      <c r="L77" s="65" t="s">
        <v>33</v>
      </c>
      <c r="M77" s="65" t="str">
        <f t="shared" si="15"/>
        <v>*-*/1T0103-13</v>
      </c>
      <c r="N77" s="159"/>
      <c r="O77" s="159"/>
      <c r="P77" s="68" t="s">
        <v>42</v>
      </c>
      <c r="Q77" s="89"/>
    </row>
    <row r="78" spans="2:17" ht="30" customHeight="1" x14ac:dyDescent="0.3">
      <c r="B78" s="87"/>
      <c r="C78" s="159"/>
      <c r="D78" s="89"/>
      <c r="E78" s="67" t="s">
        <v>15</v>
      </c>
      <c r="F78" s="77">
        <v>1</v>
      </c>
      <c r="G78" s="80">
        <v>3</v>
      </c>
      <c r="H78" s="69" t="str">
        <f t="shared" si="13"/>
        <v>1T0103</v>
      </c>
      <c r="I78" s="65">
        <f>I77+2</f>
        <v>15</v>
      </c>
      <c r="J78" s="65" t="str">
        <f t="shared" si="14"/>
        <v>15-1T0103/*-*</v>
      </c>
      <c r="K78" s="65" t="s">
        <v>33</v>
      </c>
      <c r="L78" s="65" t="s">
        <v>33</v>
      </c>
      <c r="M78" s="65" t="str">
        <f t="shared" si="15"/>
        <v>*-*/1T0103-15</v>
      </c>
      <c r="N78" s="159"/>
      <c r="O78" s="159"/>
      <c r="P78" s="68" t="s">
        <v>262</v>
      </c>
      <c r="Q78" s="89"/>
    </row>
    <row r="79" spans="2:17" ht="30" customHeight="1" x14ac:dyDescent="0.3">
      <c r="B79" s="87"/>
      <c r="C79" s="159"/>
      <c r="D79" s="89"/>
      <c r="E79" s="67" t="s">
        <v>16</v>
      </c>
      <c r="F79" s="77">
        <v>1</v>
      </c>
      <c r="G79" s="80">
        <v>3</v>
      </c>
      <c r="H79" s="69" t="str">
        <f t="shared" si="13"/>
        <v>1T0103</v>
      </c>
      <c r="I79" s="65">
        <f>I78+2</f>
        <v>17</v>
      </c>
      <c r="J79" s="65" t="str">
        <f t="shared" si="14"/>
        <v>17-1T0103/*-*</v>
      </c>
      <c r="K79" s="65" t="s">
        <v>33</v>
      </c>
      <c r="L79" s="65" t="s">
        <v>33</v>
      </c>
      <c r="M79" s="65" t="str">
        <f t="shared" si="15"/>
        <v>*-*/1T0103-17</v>
      </c>
      <c r="N79" s="159"/>
      <c r="O79" s="159"/>
      <c r="P79" s="68" t="s">
        <v>263</v>
      </c>
      <c r="Q79" s="89"/>
    </row>
    <row r="80" spans="2:17" ht="30" customHeight="1" x14ac:dyDescent="0.3">
      <c r="B80" s="87"/>
      <c r="C80" s="159"/>
      <c r="D80" s="89"/>
      <c r="E80" s="67" t="s">
        <v>17</v>
      </c>
      <c r="F80" s="77">
        <v>1</v>
      </c>
      <c r="G80" s="80">
        <v>3</v>
      </c>
      <c r="H80" s="69" t="str">
        <f t="shared" si="13"/>
        <v>1T0103</v>
      </c>
      <c r="I80" s="65">
        <f>I79+2</f>
        <v>19</v>
      </c>
      <c r="J80" s="65" t="str">
        <f t="shared" si="14"/>
        <v>19-1T0103/*-*</v>
      </c>
      <c r="K80" s="65" t="s">
        <v>33</v>
      </c>
      <c r="L80" s="65" t="s">
        <v>33</v>
      </c>
      <c r="M80" s="65" t="str">
        <f t="shared" si="15"/>
        <v>*-*/1T0103-19</v>
      </c>
      <c r="N80" s="159"/>
      <c r="O80" s="159"/>
      <c r="P80" s="68" t="s">
        <v>264</v>
      </c>
      <c r="Q80" s="89"/>
    </row>
    <row r="81" spans="2:17" ht="30" customHeight="1" x14ac:dyDescent="0.3">
      <c r="B81" s="87"/>
      <c r="C81" s="159"/>
      <c r="D81" s="89"/>
      <c r="E81" s="67" t="s">
        <v>18</v>
      </c>
      <c r="F81" s="77">
        <v>1</v>
      </c>
      <c r="G81" s="80">
        <v>3</v>
      </c>
      <c r="H81" s="69" t="str">
        <f t="shared" si="13"/>
        <v>1T0103</v>
      </c>
      <c r="I81" s="65">
        <f>I80+2</f>
        <v>21</v>
      </c>
      <c r="J81" s="65" t="str">
        <f t="shared" si="14"/>
        <v>21-1T0103/*-*</v>
      </c>
      <c r="K81" s="65" t="s">
        <v>33</v>
      </c>
      <c r="L81" s="65" t="s">
        <v>33</v>
      </c>
      <c r="M81" s="65" t="str">
        <f t="shared" si="15"/>
        <v>*-*/1T0103-21</v>
      </c>
      <c r="N81" s="159"/>
      <c r="O81" s="159"/>
      <c r="P81" s="68" t="s">
        <v>265</v>
      </c>
      <c r="Q81" s="89"/>
    </row>
    <row r="82" spans="2:17" ht="30" customHeight="1" x14ac:dyDescent="0.45">
      <c r="B82" s="87"/>
      <c r="C82" s="159"/>
      <c r="D82" s="89"/>
      <c r="E82" s="67" t="s">
        <v>19</v>
      </c>
      <c r="F82" s="77">
        <v>1</v>
      </c>
      <c r="G82" s="80">
        <v>3</v>
      </c>
      <c r="H82" s="69" t="str">
        <f t="shared" si="13"/>
        <v>1T0103</v>
      </c>
      <c r="I82" s="65">
        <f>I81+1</f>
        <v>22</v>
      </c>
      <c r="J82" s="65" t="str">
        <f t="shared" si="14"/>
        <v>22-1T0103/*-*</v>
      </c>
      <c r="K82" s="65" t="s">
        <v>33</v>
      </c>
      <c r="L82" s="65" t="s">
        <v>33</v>
      </c>
      <c r="M82" s="65" t="str">
        <f t="shared" si="15"/>
        <v>*-*/1T0103-22</v>
      </c>
      <c r="N82" s="159"/>
      <c r="O82" s="159"/>
      <c r="P82" s="75" t="s">
        <v>31</v>
      </c>
      <c r="Q82" s="89"/>
    </row>
    <row r="83" spans="2:17" ht="30" customHeight="1" x14ac:dyDescent="0.3">
      <c r="B83" s="87"/>
      <c r="C83" s="159"/>
      <c r="D83" s="89"/>
      <c r="E83" s="67" t="s">
        <v>20</v>
      </c>
      <c r="F83" s="77">
        <v>4</v>
      </c>
      <c r="G83" s="80">
        <v>1</v>
      </c>
      <c r="H83" s="69" t="str">
        <f t="shared" si="13"/>
        <v>1T0401</v>
      </c>
      <c r="I83" s="65">
        <v>7</v>
      </c>
      <c r="J83" s="65" t="str">
        <f t="shared" si="14"/>
        <v>7-1T0401/*-*</v>
      </c>
      <c r="K83" s="65" t="s">
        <v>33</v>
      </c>
      <c r="L83" s="65" t="s">
        <v>33</v>
      </c>
      <c r="M83" s="65" t="str">
        <f t="shared" si="15"/>
        <v>*-*/1T0401-7</v>
      </c>
      <c r="N83" s="159"/>
      <c r="O83" s="159"/>
      <c r="P83" s="68" t="s">
        <v>225</v>
      </c>
      <c r="Q83" s="161" t="str" cm="1">
        <f t="array" ref="Q83">UPPER(
   "In PLC side, " &amp;
   _xlfn.TEXTJOIN(", ", TRUE,
      H83:INDEX(H83:H92, MATCH("COMMON",P83:P92,0)-2) &amp;
      ": " &amp;
      (I83:INDEX(I83:I92, MATCH("COMMON",P83:P92,0)-2)+1)
   ) &amp;
   " &amp; " &amp;
   INDEX(H83:H92, MATCH("COMMON",P83:P92,0)-1) &amp; ": " &amp;
   INDEX(I83:I92, MATCH("COMMON",P83:P92,0)-1)+1 &amp;
   " are already looped"
)</f>
        <v>IN PLC SIDE, 1T0401: 8 &amp; 1T0401: 10 ARE ALREADY LOOPED</v>
      </c>
    </row>
    <row r="84" spans="2:17" ht="30" customHeight="1" x14ac:dyDescent="0.3">
      <c r="B84" s="87"/>
      <c r="C84" s="159"/>
      <c r="D84" s="89"/>
      <c r="E84" s="67" t="s">
        <v>21</v>
      </c>
      <c r="F84" s="77">
        <v>4</v>
      </c>
      <c r="G84" s="80">
        <v>1</v>
      </c>
      <c r="H84" s="69" t="str">
        <f t="shared" si="13"/>
        <v>1T0401</v>
      </c>
      <c r="I84" s="65">
        <f>I83+2</f>
        <v>9</v>
      </c>
      <c r="J84" s="65" t="str">
        <f t="shared" si="14"/>
        <v>9-1T0401/*-*</v>
      </c>
      <c r="K84" s="65" t="s">
        <v>33</v>
      </c>
      <c r="L84" s="65" t="s">
        <v>33</v>
      </c>
      <c r="M84" s="65" t="str">
        <f t="shared" si="15"/>
        <v>*-*/1T0401-9</v>
      </c>
      <c r="N84" s="159"/>
      <c r="O84" s="159"/>
      <c r="P84" s="68" t="s">
        <v>226</v>
      </c>
      <c r="Q84" s="162"/>
    </row>
    <row r="85" spans="2:17" ht="30" customHeight="1" x14ac:dyDescent="0.3">
      <c r="B85" s="87"/>
      <c r="C85" s="159"/>
      <c r="D85" s="89"/>
      <c r="E85" s="67" t="s">
        <v>30</v>
      </c>
      <c r="F85" s="77">
        <v>4</v>
      </c>
      <c r="G85" s="80">
        <v>1</v>
      </c>
      <c r="H85" s="69" t="str">
        <f t="shared" si="13"/>
        <v>1T0401</v>
      </c>
      <c r="I85" s="65">
        <f>I84+1</f>
        <v>10</v>
      </c>
      <c r="J85" s="65" t="str">
        <f t="shared" si="14"/>
        <v>10-1T0401/*-*</v>
      </c>
      <c r="K85" s="65" t="s">
        <v>33</v>
      </c>
      <c r="L85" s="65" t="s">
        <v>33</v>
      </c>
      <c r="M85" s="65" t="str">
        <f t="shared" si="15"/>
        <v>*-*/1T0401-10</v>
      </c>
      <c r="N85" s="159"/>
      <c r="O85" s="159"/>
      <c r="P85" s="68" t="s">
        <v>31</v>
      </c>
      <c r="Q85" s="162"/>
    </row>
    <row r="86" spans="2:17" ht="30" customHeight="1" x14ac:dyDescent="0.3">
      <c r="B86" s="87"/>
      <c r="C86" s="159"/>
      <c r="D86" s="89"/>
      <c r="E86" s="65" t="s">
        <v>323</v>
      </c>
      <c r="F86" s="77" t="s">
        <v>45</v>
      </c>
      <c r="G86" s="80" t="s">
        <v>45</v>
      </c>
      <c r="H86" s="69" t="s">
        <v>45</v>
      </c>
      <c r="I86" s="65" t="s">
        <v>45</v>
      </c>
      <c r="J86" s="65" t="s">
        <v>45</v>
      </c>
      <c r="K86" s="65" t="s">
        <v>45</v>
      </c>
      <c r="L86" s="65" t="s">
        <v>45</v>
      </c>
      <c r="M86" s="65" t="s">
        <v>45</v>
      </c>
      <c r="N86" s="159"/>
      <c r="O86" s="159"/>
      <c r="P86" s="68" t="s">
        <v>34</v>
      </c>
      <c r="Q86" s="162"/>
    </row>
    <row r="87" spans="2:17" ht="30" customHeight="1" x14ac:dyDescent="0.45">
      <c r="B87" s="87"/>
      <c r="C87" s="159"/>
      <c r="D87" s="89"/>
      <c r="E87" s="65" t="s">
        <v>324</v>
      </c>
      <c r="F87" s="77" t="s">
        <v>45</v>
      </c>
      <c r="G87" s="80" t="s">
        <v>45</v>
      </c>
      <c r="H87" s="69" t="s">
        <v>45</v>
      </c>
      <c r="I87" s="65" t="s">
        <v>45</v>
      </c>
      <c r="J87" s="65" t="s">
        <v>45</v>
      </c>
      <c r="K87" s="65" t="s">
        <v>45</v>
      </c>
      <c r="L87" s="65" t="s">
        <v>45</v>
      </c>
      <c r="M87" s="65" t="s">
        <v>45</v>
      </c>
      <c r="N87" s="159"/>
      <c r="O87" s="159"/>
      <c r="P87" s="75" t="s">
        <v>34</v>
      </c>
      <c r="Q87" s="163"/>
    </row>
    <row r="88" spans="2:17" ht="30" customHeight="1" x14ac:dyDescent="0.3">
      <c r="B88" s="87">
        <f t="shared" ref="B88" si="17">B76+1</f>
        <v>8</v>
      </c>
      <c r="C88" s="159" t="str">
        <f t="shared" ref="C88" si="18">N88&amp;" - PLC"</f>
        <v>VTP-05/FCMA SS - PLC</v>
      </c>
      <c r="D88" s="89" t="s">
        <v>200</v>
      </c>
      <c r="E88" s="67" t="s">
        <v>13</v>
      </c>
      <c r="F88" s="77">
        <v>1</v>
      </c>
      <c r="G88" s="80">
        <v>3</v>
      </c>
      <c r="H88" s="69" t="str">
        <f>"1T"&amp;TEXT(F88,"00")&amp;TEXT(G88,"00")</f>
        <v>1T0103</v>
      </c>
      <c r="I88" s="65">
        <v>23</v>
      </c>
      <c r="J88" s="65" t="str">
        <f t="shared" si="14"/>
        <v>23-1T0103/*-*</v>
      </c>
      <c r="K88" s="65" t="s">
        <v>33</v>
      </c>
      <c r="L88" s="65" t="s">
        <v>33</v>
      </c>
      <c r="M88" s="65" t="str">
        <f t="shared" si="15"/>
        <v>*-*/1T0103-23</v>
      </c>
      <c r="N88" s="159" t="s">
        <v>234</v>
      </c>
      <c r="O88" s="159" t="s">
        <v>208</v>
      </c>
      <c r="P88" s="68" t="s">
        <v>41</v>
      </c>
      <c r="Q88" s="161" t="str" cm="1">
        <f t="array" ref="Q88">UPPER(
   "In PLC side, " &amp;
   _xlfn.TEXTJOIN(", ", TRUE,
      H88:INDEX(H88:H99, MATCH("COMMON",P88:P99,0)-2) &amp;
      ": " &amp;
      (I88:INDEX(I88:I99, MATCH("COMMON",P88:P99,0)-2)+1)
   ) &amp;
   " &amp; " &amp;
   INDEX(H88:H99, MATCH("COMMON",P88:P99,0)-1) &amp; ": " &amp;
   INDEX(I88:I99, MATCH("COMMON",P88:P99,0)-1)+1 &amp;
   " are already looped"
)</f>
        <v>IN PLC SIDE, 1T0103: 24, 1T0103: 26, 1T0104: 2 &amp; 1T0104: 4 ARE ALREADY LOOPED</v>
      </c>
    </row>
    <row r="89" spans="2:17" ht="30" customHeight="1" x14ac:dyDescent="0.3">
      <c r="B89" s="87"/>
      <c r="C89" s="159"/>
      <c r="D89" s="89"/>
      <c r="E89" s="67" t="s">
        <v>14</v>
      </c>
      <c r="F89" s="77">
        <v>1</v>
      </c>
      <c r="G89" s="80">
        <v>3</v>
      </c>
      <c r="H89" s="69" t="str">
        <f t="shared" si="13"/>
        <v>1T0103</v>
      </c>
      <c r="I89" s="65">
        <f>I88+2</f>
        <v>25</v>
      </c>
      <c r="J89" s="65" t="str">
        <f t="shared" si="14"/>
        <v>25-1T0103/*-*</v>
      </c>
      <c r="K89" s="65" t="s">
        <v>33</v>
      </c>
      <c r="L89" s="65" t="s">
        <v>33</v>
      </c>
      <c r="M89" s="65" t="str">
        <f t="shared" si="15"/>
        <v>*-*/1T0103-25</v>
      </c>
      <c r="N89" s="159"/>
      <c r="O89" s="159"/>
      <c r="P89" s="68" t="s">
        <v>42</v>
      </c>
      <c r="Q89" s="162"/>
    </row>
    <row r="90" spans="2:17" ht="30" customHeight="1" x14ac:dyDescent="0.3">
      <c r="B90" s="87"/>
      <c r="C90" s="159"/>
      <c r="D90" s="89"/>
      <c r="E90" s="67" t="s">
        <v>15</v>
      </c>
      <c r="F90" s="77">
        <v>1</v>
      </c>
      <c r="G90" s="80">
        <v>4</v>
      </c>
      <c r="H90" s="69" t="str">
        <f t="shared" si="13"/>
        <v>1T0104</v>
      </c>
      <c r="I90" s="65">
        <v>1</v>
      </c>
      <c r="J90" s="65" t="str">
        <f t="shared" si="14"/>
        <v>1-1T0104/*-*</v>
      </c>
      <c r="K90" s="65" t="s">
        <v>33</v>
      </c>
      <c r="L90" s="65" t="s">
        <v>33</v>
      </c>
      <c r="M90" s="65" t="str">
        <f t="shared" si="15"/>
        <v>*-*/1T0104-1</v>
      </c>
      <c r="N90" s="159"/>
      <c r="O90" s="159"/>
      <c r="P90" s="68" t="s">
        <v>262</v>
      </c>
      <c r="Q90" s="162"/>
    </row>
    <row r="91" spans="2:17" ht="30" customHeight="1" x14ac:dyDescent="0.3">
      <c r="B91" s="87"/>
      <c r="C91" s="159"/>
      <c r="D91" s="89"/>
      <c r="E91" s="67" t="s">
        <v>16</v>
      </c>
      <c r="F91" s="77">
        <v>1</v>
      </c>
      <c r="G91" s="80">
        <v>4</v>
      </c>
      <c r="H91" s="69" t="str">
        <f t="shared" si="13"/>
        <v>1T0104</v>
      </c>
      <c r="I91" s="65">
        <f>I90+2</f>
        <v>3</v>
      </c>
      <c r="J91" s="65" t="str">
        <f t="shared" si="14"/>
        <v>3-1T0104/*-*</v>
      </c>
      <c r="K91" s="65" t="s">
        <v>33</v>
      </c>
      <c r="L91" s="65" t="s">
        <v>33</v>
      </c>
      <c r="M91" s="65" t="str">
        <f t="shared" si="15"/>
        <v>*-*/1T0104-3</v>
      </c>
      <c r="N91" s="159"/>
      <c r="O91" s="159"/>
      <c r="P91" s="68" t="s">
        <v>263</v>
      </c>
      <c r="Q91" s="162"/>
    </row>
    <row r="92" spans="2:17" ht="30" customHeight="1" x14ac:dyDescent="0.3">
      <c r="B92" s="87"/>
      <c r="C92" s="159"/>
      <c r="D92" s="89"/>
      <c r="E92" s="67" t="s">
        <v>17</v>
      </c>
      <c r="F92" s="77">
        <v>1</v>
      </c>
      <c r="G92" s="80">
        <v>4</v>
      </c>
      <c r="H92" s="69" t="str">
        <f>"1T"&amp;TEXT(F92,"00")&amp;TEXT(G92,"00")</f>
        <v>1T0104</v>
      </c>
      <c r="I92" s="65">
        <f>I91+1</f>
        <v>4</v>
      </c>
      <c r="J92" s="65" t="str">
        <f t="shared" si="14"/>
        <v>4-1T0104/*-*</v>
      </c>
      <c r="K92" s="65" t="s">
        <v>33</v>
      </c>
      <c r="L92" s="65" t="s">
        <v>33</v>
      </c>
      <c r="M92" s="65" t="str">
        <f t="shared" si="15"/>
        <v>*-*/1T0104-4</v>
      </c>
      <c r="N92" s="159"/>
      <c r="O92" s="159"/>
      <c r="P92" s="68" t="s">
        <v>31</v>
      </c>
      <c r="Q92" s="163"/>
    </row>
    <row r="93" spans="2:17" ht="30" customHeight="1" x14ac:dyDescent="0.3">
      <c r="B93" s="87"/>
      <c r="C93" s="159"/>
      <c r="D93" s="89"/>
      <c r="E93" s="67" t="s">
        <v>18</v>
      </c>
      <c r="F93" s="77">
        <v>4</v>
      </c>
      <c r="G93" s="80">
        <v>1</v>
      </c>
      <c r="H93" s="69" t="str">
        <f t="shared" si="13"/>
        <v>1T0401</v>
      </c>
      <c r="I93" s="65">
        <v>11</v>
      </c>
      <c r="J93" s="65" t="str">
        <f t="shared" si="14"/>
        <v>11-1T0401/*-*</v>
      </c>
      <c r="K93" s="65" t="s">
        <v>33</v>
      </c>
      <c r="L93" s="65" t="s">
        <v>33</v>
      </c>
      <c r="M93" s="65" t="str">
        <f t="shared" si="15"/>
        <v>*-*/1T0401-11</v>
      </c>
      <c r="N93" s="159"/>
      <c r="O93" s="159"/>
      <c r="P93" s="68" t="s">
        <v>225</v>
      </c>
      <c r="Q93" s="161" t="str" cm="1">
        <f t="array" ref="Q93">UPPER(
   "In PLC side, " &amp;
   _xlfn.TEXTJOIN(", ", TRUE,
      H93:INDEX(H93:H102, MATCH("COMMON",P93:P102,0)-2) &amp;
      ": " &amp;
      (I93:INDEX(I93:I102, MATCH("COMMON",P93:P102,0)-2)+1)
   ) &amp;
   " &amp; " &amp;
   INDEX(H93:H102, MATCH("COMMON",P93:P102,0)-1) &amp; ": " &amp;
   INDEX(I93:I102, MATCH("COMMON",P93:P102,0)-1)+1 &amp;
   " are already looped"
)</f>
        <v>IN PLC SIDE, 1T0401: 12 &amp; 1T0401: 14 ARE ALREADY LOOPED</v>
      </c>
    </row>
    <row r="94" spans="2:17" ht="30" customHeight="1" x14ac:dyDescent="0.45">
      <c r="B94" s="87"/>
      <c r="C94" s="159"/>
      <c r="D94" s="89"/>
      <c r="E94" s="67" t="s">
        <v>19</v>
      </c>
      <c r="F94" s="77">
        <v>4</v>
      </c>
      <c r="G94" s="80">
        <v>1</v>
      </c>
      <c r="H94" s="69" t="str">
        <f t="shared" si="13"/>
        <v>1T0401</v>
      </c>
      <c r="I94" s="65">
        <f>I93+2</f>
        <v>13</v>
      </c>
      <c r="J94" s="65" t="str">
        <f t="shared" si="14"/>
        <v>13-1T0401/*-*</v>
      </c>
      <c r="K94" s="65" t="s">
        <v>33</v>
      </c>
      <c r="L94" s="65" t="s">
        <v>33</v>
      </c>
      <c r="M94" s="65" t="str">
        <f t="shared" si="15"/>
        <v>*-*/1T0401-13</v>
      </c>
      <c r="N94" s="159"/>
      <c r="O94" s="159"/>
      <c r="P94" s="75" t="s">
        <v>226</v>
      </c>
      <c r="Q94" s="162"/>
    </row>
    <row r="95" spans="2:17" ht="30" customHeight="1" x14ac:dyDescent="0.3">
      <c r="B95" s="87"/>
      <c r="C95" s="159"/>
      <c r="D95" s="89"/>
      <c r="E95" s="67" t="s">
        <v>20</v>
      </c>
      <c r="F95" s="77">
        <v>4</v>
      </c>
      <c r="G95" s="80">
        <v>1</v>
      </c>
      <c r="H95" s="69" t="str">
        <f t="shared" si="13"/>
        <v>1T0401</v>
      </c>
      <c r="I95" s="65">
        <f>I94+1</f>
        <v>14</v>
      </c>
      <c r="J95" s="65" t="str">
        <f t="shared" si="14"/>
        <v>14-1T0401/*-*</v>
      </c>
      <c r="K95" s="65" t="s">
        <v>33</v>
      </c>
      <c r="L95" s="65" t="s">
        <v>33</v>
      </c>
      <c r="M95" s="65" t="str">
        <f t="shared" si="15"/>
        <v>*-*/1T0401-14</v>
      </c>
      <c r="N95" s="159"/>
      <c r="O95" s="159"/>
      <c r="P95" s="68" t="s">
        <v>31</v>
      </c>
      <c r="Q95" s="162"/>
    </row>
    <row r="96" spans="2:17" ht="30" customHeight="1" x14ac:dyDescent="0.3">
      <c r="B96" s="87"/>
      <c r="C96" s="159"/>
      <c r="D96" s="89"/>
      <c r="E96" s="67" t="s">
        <v>21</v>
      </c>
      <c r="F96" s="77" t="s">
        <v>45</v>
      </c>
      <c r="G96" s="80" t="s">
        <v>45</v>
      </c>
      <c r="H96" s="69" t="s">
        <v>45</v>
      </c>
      <c r="I96" s="65" t="s">
        <v>45</v>
      </c>
      <c r="J96" s="65" t="s">
        <v>45</v>
      </c>
      <c r="K96" s="65" t="s">
        <v>45</v>
      </c>
      <c r="L96" s="65" t="s">
        <v>45</v>
      </c>
      <c r="M96" s="65" t="s">
        <v>45</v>
      </c>
      <c r="N96" s="159"/>
      <c r="O96" s="159"/>
      <c r="P96" s="68" t="s">
        <v>34</v>
      </c>
      <c r="Q96" s="162"/>
    </row>
    <row r="97" spans="2:17" ht="30" customHeight="1" x14ac:dyDescent="0.3">
      <c r="B97" s="87"/>
      <c r="C97" s="159"/>
      <c r="D97" s="89"/>
      <c r="E97" s="67" t="s">
        <v>30</v>
      </c>
      <c r="F97" s="77" t="s">
        <v>45</v>
      </c>
      <c r="G97" s="80" t="s">
        <v>45</v>
      </c>
      <c r="H97" s="69" t="s">
        <v>45</v>
      </c>
      <c r="I97" s="65" t="s">
        <v>45</v>
      </c>
      <c r="J97" s="65" t="s">
        <v>45</v>
      </c>
      <c r="K97" s="65" t="s">
        <v>45</v>
      </c>
      <c r="L97" s="65" t="s">
        <v>45</v>
      </c>
      <c r="M97" s="65" t="s">
        <v>45</v>
      </c>
      <c r="N97" s="159"/>
      <c r="O97" s="159"/>
      <c r="P97" s="68" t="s">
        <v>34</v>
      </c>
      <c r="Q97" s="163"/>
    </row>
    <row r="98" spans="2:17" ht="30" customHeight="1" x14ac:dyDescent="0.3">
      <c r="B98" s="87">
        <f>B88+1</f>
        <v>9</v>
      </c>
      <c r="C98" s="159" t="str">
        <f t="shared" ref="C98" si="19">N98&amp;" - PLC"</f>
        <v>VTP-06/HT - PLC</v>
      </c>
      <c r="D98" s="89" t="s">
        <v>201</v>
      </c>
      <c r="E98" s="67" t="s">
        <v>13</v>
      </c>
      <c r="F98" s="77">
        <v>1</v>
      </c>
      <c r="G98" s="80">
        <v>4</v>
      </c>
      <c r="H98" s="69" t="str">
        <f t="shared" si="13"/>
        <v>1T0104</v>
      </c>
      <c r="I98" s="65">
        <v>5</v>
      </c>
      <c r="J98" s="65" t="str">
        <f t="shared" si="14"/>
        <v>5-1T0104/*-*</v>
      </c>
      <c r="K98" s="65" t="s">
        <v>33</v>
      </c>
      <c r="L98" s="65" t="s">
        <v>33</v>
      </c>
      <c r="M98" s="65" t="str">
        <f t="shared" si="15"/>
        <v>*-*/1T0104-5</v>
      </c>
      <c r="N98" s="159" t="s">
        <v>229</v>
      </c>
      <c r="O98" s="159" t="s">
        <v>209</v>
      </c>
      <c r="P98" s="68" t="s">
        <v>41</v>
      </c>
      <c r="Q98" s="89" t="str" cm="1">
        <f t="array" ref="Q98">UPPER(
   "In PLC side, " &amp;
   _xlfn.TEXTJOIN(", ", TRUE,
      H98:INDEX(H98:H109, MATCH("COMMON",P98:P109,0)-2) &amp;
      ": " &amp;
      (I98:INDEX(I98:I109, MATCH("COMMON",P98:P109,0)-2)+1)
   ) &amp;
   " &amp; " &amp;
   INDEX(H98:H109, MATCH("COMMON",P98:P109,0)-1) &amp; ": " &amp;
   INDEX(I98:I109, MATCH("COMMON",P98:P109,0)-1)+1 &amp;
   " are already looped"
)</f>
        <v>IN PLC SIDE, 1T0104: 6, 1T0104: 8, 1T0104: 10, 1T0104: 12, 1T0104: 14 &amp; 1T0104: 16 ARE ALREADY LOOPED</v>
      </c>
    </row>
    <row r="99" spans="2:17" ht="30" customHeight="1" x14ac:dyDescent="0.3">
      <c r="B99" s="87"/>
      <c r="C99" s="159"/>
      <c r="D99" s="89"/>
      <c r="E99" s="67" t="s">
        <v>14</v>
      </c>
      <c r="F99" s="77">
        <v>1</v>
      </c>
      <c r="G99" s="80">
        <v>4</v>
      </c>
      <c r="H99" s="69" t="str">
        <f t="shared" si="13"/>
        <v>1T0104</v>
      </c>
      <c r="I99" s="65">
        <f>I98+2</f>
        <v>7</v>
      </c>
      <c r="J99" s="65" t="str">
        <f t="shared" si="14"/>
        <v>7-1T0104/*-*</v>
      </c>
      <c r="K99" s="65" t="s">
        <v>33</v>
      </c>
      <c r="L99" s="65" t="s">
        <v>33</v>
      </c>
      <c r="M99" s="65" t="str">
        <f t="shared" si="15"/>
        <v>*-*/1T0104-7</v>
      </c>
      <c r="N99" s="159"/>
      <c r="O99" s="159"/>
      <c r="P99" s="68" t="s">
        <v>42</v>
      </c>
      <c r="Q99" s="89"/>
    </row>
    <row r="100" spans="2:17" ht="30" customHeight="1" x14ac:dyDescent="0.3">
      <c r="B100" s="87"/>
      <c r="C100" s="159"/>
      <c r="D100" s="89"/>
      <c r="E100" s="67" t="s">
        <v>15</v>
      </c>
      <c r="F100" s="77">
        <v>1</v>
      </c>
      <c r="G100" s="80">
        <v>4</v>
      </c>
      <c r="H100" s="69" t="str">
        <f t="shared" si="13"/>
        <v>1T0104</v>
      </c>
      <c r="I100" s="65">
        <f>I99+2</f>
        <v>9</v>
      </c>
      <c r="J100" s="65" t="str">
        <f t="shared" si="14"/>
        <v>9-1T0104/*-*</v>
      </c>
      <c r="K100" s="65" t="s">
        <v>33</v>
      </c>
      <c r="L100" s="65" t="s">
        <v>33</v>
      </c>
      <c r="M100" s="65" t="str">
        <f t="shared" si="15"/>
        <v>*-*/1T0104-9</v>
      </c>
      <c r="N100" s="159"/>
      <c r="O100" s="159"/>
      <c r="P100" s="68" t="s">
        <v>262</v>
      </c>
      <c r="Q100" s="89"/>
    </row>
    <row r="101" spans="2:17" ht="30" customHeight="1" x14ac:dyDescent="0.3">
      <c r="B101" s="87"/>
      <c r="C101" s="159"/>
      <c r="D101" s="89"/>
      <c r="E101" s="67" t="s">
        <v>16</v>
      </c>
      <c r="F101" s="77">
        <v>1</v>
      </c>
      <c r="G101" s="80">
        <v>4</v>
      </c>
      <c r="H101" s="69" t="str">
        <f t="shared" si="13"/>
        <v>1T0104</v>
      </c>
      <c r="I101" s="65">
        <f>I100+2</f>
        <v>11</v>
      </c>
      <c r="J101" s="65" t="str">
        <f t="shared" si="14"/>
        <v>11-1T0104/*-*</v>
      </c>
      <c r="K101" s="65" t="s">
        <v>33</v>
      </c>
      <c r="L101" s="65" t="s">
        <v>33</v>
      </c>
      <c r="M101" s="65" t="str">
        <f t="shared" si="15"/>
        <v>*-*/1T0104-11</v>
      </c>
      <c r="N101" s="159"/>
      <c r="O101" s="159"/>
      <c r="P101" s="68" t="s">
        <v>263</v>
      </c>
      <c r="Q101" s="89"/>
    </row>
    <row r="102" spans="2:17" ht="30" customHeight="1" x14ac:dyDescent="0.3">
      <c r="B102" s="87"/>
      <c r="C102" s="159"/>
      <c r="D102" s="89"/>
      <c r="E102" s="67" t="s">
        <v>17</v>
      </c>
      <c r="F102" s="77">
        <v>1</v>
      </c>
      <c r="G102" s="80">
        <v>4</v>
      </c>
      <c r="H102" s="69" t="str">
        <f t="shared" si="13"/>
        <v>1T0104</v>
      </c>
      <c r="I102" s="65">
        <f>I101+2</f>
        <v>13</v>
      </c>
      <c r="J102" s="65" t="str">
        <f t="shared" si="14"/>
        <v>13-1T0104/*-*</v>
      </c>
      <c r="K102" s="65" t="s">
        <v>33</v>
      </c>
      <c r="L102" s="65" t="s">
        <v>33</v>
      </c>
      <c r="M102" s="65" t="str">
        <f t="shared" si="15"/>
        <v>*-*/1T0104-13</v>
      </c>
      <c r="N102" s="159"/>
      <c r="O102" s="159"/>
      <c r="P102" s="68" t="s">
        <v>264</v>
      </c>
      <c r="Q102" s="89"/>
    </row>
    <row r="103" spans="2:17" ht="30" customHeight="1" x14ac:dyDescent="0.3">
      <c r="B103" s="87"/>
      <c r="C103" s="159"/>
      <c r="D103" s="89"/>
      <c r="E103" s="67" t="s">
        <v>18</v>
      </c>
      <c r="F103" s="77">
        <v>1</v>
      </c>
      <c r="G103" s="80">
        <v>4</v>
      </c>
      <c r="H103" s="69" t="str">
        <f t="shared" si="13"/>
        <v>1T0104</v>
      </c>
      <c r="I103" s="65">
        <f>I102+2</f>
        <v>15</v>
      </c>
      <c r="J103" s="65" t="str">
        <f t="shared" si="14"/>
        <v>15-1T0104/*-*</v>
      </c>
      <c r="K103" s="65" t="s">
        <v>33</v>
      </c>
      <c r="L103" s="65" t="s">
        <v>33</v>
      </c>
      <c r="M103" s="65" t="str">
        <f t="shared" si="15"/>
        <v>*-*/1T0104-15</v>
      </c>
      <c r="N103" s="159"/>
      <c r="O103" s="159"/>
      <c r="P103" s="68" t="s">
        <v>265</v>
      </c>
      <c r="Q103" s="89"/>
    </row>
    <row r="104" spans="2:17" ht="30" customHeight="1" x14ac:dyDescent="0.45">
      <c r="B104" s="87"/>
      <c r="C104" s="159"/>
      <c r="D104" s="89"/>
      <c r="E104" s="67" t="s">
        <v>19</v>
      </c>
      <c r="F104" s="77">
        <v>1</v>
      </c>
      <c r="G104" s="80">
        <v>4</v>
      </c>
      <c r="H104" s="69" t="str">
        <f t="shared" si="13"/>
        <v>1T0104</v>
      </c>
      <c r="I104" s="65">
        <f>I103+1</f>
        <v>16</v>
      </c>
      <c r="J104" s="65" t="str">
        <f t="shared" si="14"/>
        <v>16-1T0104/*-*</v>
      </c>
      <c r="K104" s="65" t="s">
        <v>33</v>
      </c>
      <c r="L104" s="65" t="s">
        <v>33</v>
      </c>
      <c r="M104" s="65" t="str">
        <f t="shared" si="15"/>
        <v>*-*/1T0104-16</v>
      </c>
      <c r="N104" s="159"/>
      <c r="O104" s="159"/>
      <c r="P104" s="75" t="s">
        <v>31</v>
      </c>
      <c r="Q104" s="89"/>
    </row>
    <row r="105" spans="2:17" ht="30" customHeight="1" x14ac:dyDescent="0.3">
      <c r="B105" s="87"/>
      <c r="C105" s="159"/>
      <c r="D105" s="89"/>
      <c r="E105" s="67" t="s">
        <v>20</v>
      </c>
      <c r="F105" s="77">
        <v>4</v>
      </c>
      <c r="G105" s="80">
        <v>1</v>
      </c>
      <c r="H105" s="69" t="str">
        <f t="shared" si="13"/>
        <v>1T0401</v>
      </c>
      <c r="I105" s="65">
        <v>15</v>
      </c>
      <c r="J105" s="65" t="str">
        <f t="shared" si="14"/>
        <v>15-1T0401/*-*</v>
      </c>
      <c r="K105" s="65" t="s">
        <v>33</v>
      </c>
      <c r="L105" s="65" t="s">
        <v>33</v>
      </c>
      <c r="M105" s="65" t="str">
        <f t="shared" si="15"/>
        <v>*-*/1T0401-15</v>
      </c>
      <c r="N105" s="159"/>
      <c r="O105" s="159"/>
      <c r="P105" s="68" t="s">
        <v>225</v>
      </c>
      <c r="Q105" s="161" t="str" cm="1">
        <f t="array" ref="Q105">UPPER(
   "In PLC side, " &amp;
   _xlfn.TEXTJOIN(", ", TRUE,
      H105:INDEX(H105:H114, MATCH("COMMON",P105:P114,0)-2) &amp;
      ": " &amp;
      (I105:INDEX(I105:I114, MATCH("COMMON",P105:P114,0)-2)+1)
   ) &amp;
   " &amp; " &amp;
   INDEX(H105:H114, MATCH("COMMON",P105:P114,0)-1) &amp; ": " &amp;
   INDEX(I105:I114, MATCH("COMMON",P105:P114,0)-1)+1 &amp;
   " are already looped"
)</f>
        <v>IN PLC SIDE, 1T0401: 16 &amp; 1T0401: 18 ARE ALREADY LOOPED</v>
      </c>
    </row>
    <row r="106" spans="2:17" ht="30" customHeight="1" x14ac:dyDescent="0.3">
      <c r="B106" s="87"/>
      <c r="C106" s="159"/>
      <c r="D106" s="89"/>
      <c r="E106" s="67" t="s">
        <v>21</v>
      </c>
      <c r="F106" s="77">
        <v>4</v>
      </c>
      <c r="G106" s="80">
        <v>1</v>
      </c>
      <c r="H106" s="69" t="str">
        <f t="shared" si="13"/>
        <v>1T0401</v>
      </c>
      <c r="I106" s="65">
        <f>I105+2</f>
        <v>17</v>
      </c>
      <c r="J106" s="65" t="str">
        <f t="shared" si="14"/>
        <v>17-1T0401/*-*</v>
      </c>
      <c r="K106" s="65" t="s">
        <v>33</v>
      </c>
      <c r="L106" s="65" t="s">
        <v>33</v>
      </c>
      <c r="M106" s="65" t="str">
        <f t="shared" si="15"/>
        <v>*-*/1T0401-17</v>
      </c>
      <c r="N106" s="159"/>
      <c r="O106" s="159"/>
      <c r="P106" s="68" t="s">
        <v>226</v>
      </c>
      <c r="Q106" s="162"/>
    </row>
    <row r="107" spans="2:17" ht="30" customHeight="1" x14ac:dyDescent="0.3">
      <c r="B107" s="87"/>
      <c r="C107" s="159"/>
      <c r="D107" s="89"/>
      <c r="E107" s="67" t="s">
        <v>30</v>
      </c>
      <c r="F107" s="77">
        <v>4</v>
      </c>
      <c r="G107" s="80">
        <v>1</v>
      </c>
      <c r="H107" s="69" t="str">
        <f t="shared" si="13"/>
        <v>1T0401</v>
      </c>
      <c r="I107" s="65">
        <f>I106+1</f>
        <v>18</v>
      </c>
      <c r="J107" s="65" t="str">
        <f t="shared" si="14"/>
        <v>18-1T0401/*-*</v>
      </c>
      <c r="K107" s="65" t="s">
        <v>33</v>
      </c>
      <c r="L107" s="65" t="s">
        <v>33</v>
      </c>
      <c r="M107" s="65" t="str">
        <f t="shared" si="15"/>
        <v>*-*/1T0401-18</v>
      </c>
      <c r="N107" s="159"/>
      <c r="O107" s="159"/>
      <c r="P107" s="68" t="s">
        <v>31</v>
      </c>
      <c r="Q107" s="162"/>
    </row>
    <row r="108" spans="2:17" ht="30" customHeight="1" x14ac:dyDescent="0.3">
      <c r="B108" s="87"/>
      <c r="C108" s="159"/>
      <c r="D108" s="89"/>
      <c r="E108" s="65" t="s">
        <v>323</v>
      </c>
      <c r="F108" s="77" t="s">
        <v>45</v>
      </c>
      <c r="G108" s="80" t="s">
        <v>45</v>
      </c>
      <c r="H108" s="69" t="s">
        <v>45</v>
      </c>
      <c r="I108" s="65" t="s">
        <v>45</v>
      </c>
      <c r="J108" s="65" t="s">
        <v>45</v>
      </c>
      <c r="K108" s="65" t="s">
        <v>45</v>
      </c>
      <c r="L108" s="65" t="s">
        <v>45</v>
      </c>
      <c r="M108" s="65" t="s">
        <v>45</v>
      </c>
      <c r="N108" s="159"/>
      <c r="O108" s="159"/>
      <c r="P108" s="68" t="s">
        <v>34</v>
      </c>
      <c r="Q108" s="162"/>
    </row>
    <row r="109" spans="2:17" ht="30" customHeight="1" x14ac:dyDescent="0.45">
      <c r="B109" s="87"/>
      <c r="C109" s="159"/>
      <c r="D109" s="89"/>
      <c r="E109" s="65" t="s">
        <v>324</v>
      </c>
      <c r="F109" s="77" t="s">
        <v>45</v>
      </c>
      <c r="G109" s="80" t="s">
        <v>45</v>
      </c>
      <c r="H109" s="69" t="s">
        <v>45</v>
      </c>
      <c r="I109" s="65" t="s">
        <v>45</v>
      </c>
      <c r="J109" s="65" t="s">
        <v>45</v>
      </c>
      <c r="K109" s="65" t="s">
        <v>45</v>
      </c>
      <c r="L109" s="65" t="s">
        <v>45</v>
      </c>
      <c r="M109" s="65" t="s">
        <v>45</v>
      </c>
      <c r="N109" s="159"/>
      <c r="O109" s="159"/>
      <c r="P109" s="75" t="s">
        <v>34</v>
      </c>
      <c r="Q109" s="163"/>
    </row>
    <row r="110" spans="2:17" ht="30" customHeight="1" x14ac:dyDescent="0.3">
      <c r="B110" s="87">
        <f t="shared" ref="B110" si="20">B98+1</f>
        <v>10</v>
      </c>
      <c r="C110" s="159" t="str">
        <f t="shared" ref="C110" si="21">N110&amp;" - PLC"</f>
        <v>VTP-06/FCMA SS - PLC</v>
      </c>
      <c r="D110" s="89" t="s">
        <v>200</v>
      </c>
      <c r="E110" s="67" t="s">
        <v>13</v>
      </c>
      <c r="F110" s="77">
        <v>1</v>
      </c>
      <c r="G110" s="80">
        <v>4</v>
      </c>
      <c r="H110" s="69" t="str">
        <f t="shared" si="13"/>
        <v>1T0104</v>
      </c>
      <c r="I110" s="65">
        <v>17</v>
      </c>
      <c r="J110" s="65" t="str">
        <f t="shared" si="14"/>
        <v>17-1T0104/*-*</v>
      </c>
      <c r="K110" s="65" t="s">
        <v>33</v>
      </c>
      <c r="L110" s="65" t="s">
        <v>33</v>
      </c>
      <c r="M110" s="65" t="str">
        <f t="shared" si="15"/>
        <v>*-*/1T0104-17</v>
      </c>
      <c r="N110" s="159" t="s">
        <v>235</v>
      </c>
      <c r="O110" s="159" t="s">
        <v>209</v>
      </c>
      <c r="P110" s="68" t="s">
        <v>41</v>
      </c>
      <c r="Q110" s="161" t="str" cm="1">
        <f t="array" ref="Q110">UPPER(
   "In PLC side, " &amp;
   _xlfn.TEXTJOIN(", ", TRUE,
      H110:INDEX(H110:H121, MATCH("COMMON",P110:P121,0)-2) &amp;
      ": " &amp;
      (I110:INDEX(I110:I121, MATCH("COMMON",P110:P121,0)-2)+1)
   ) &amp;
   " &amp; " &amp;
   INDEX(H110:H121, MATCH("COMMON",P110:P121,0)-1) &amp; ": " &amp;
   INDEX(I110:I121, MATCH("COMMON",P110:P121,0)-1)+1 &amp;
   " are already looped"
)</f>
        <v>IN PLC SIDE, 1T0104: 18, 1T0104: 20, 1T0104: 22 &amp; 1T0104: 24 ARE ALREADY LOOPED</v>
      </c>
    </row>
    <row r="111" spans="2:17" ht="30" customHeight="1" x14ac:dyDescent="0.3">
      <c r="B111" s="87"/>
      <c r="C111" s="159"/>
      <c r="D111" s="89"/>
      <c r="E111" s="67" t="s">
        <v>14</v>
      </c>
      <c r="F111" s="77">
        <v>1</v>
      </c>
      <c r="G111" s="80">
        <v>4</v>
      </c>
      <c r="H111" s="69" t="str">
        <f t="shared" si="13"/>
        <v>1T0104</v>
      </c>
      <c r="I111" s="65">
        <f>I110+2</f>
        <v>19</v>
      </c>
      <c r="J111" s="65" t="str">
        <f t="shared" si="14"/>
        <v>19-1T0104/*-*</v>
      </c>
      <c r="K111" s="65" t="s">
        <v>33</v>
      </c>
      <c r="L111" s="65" t="s">
        <v>33</v>
      </c>
      <c r="M111" s="65" t="str">
        <f t="shared" si="15"/>
        <v>*-*/1T0104-19</v>
      </c>
      <c r="N111" s="159"/>
      <c r="O111" s="159"/>
      <c r="P111" s="68" t="s">
        <v>42</v>
      </c>
      <c r="Q111" s="162"/>
    </row>
    <row r="112" spans="2:17" ht="30" customHeight="1" x14ac:dyDescent="0.3">
      <c r="B112" s="87"/>
      <c r="C112" s="159"/>
      <c r="D112" s="89"/>
      <c r="E112" s="67" t="s">
        <v>15</v>
      </c>
      <c r="F112" s="77">
        <v>1</v>
      </c>
      <c r="G112" s="80">
        <v>4</v>
      </c>
      <c r="H112" s="69" t="str">
        <f t="shared" si="13"/>
        <v>1T0104</v>
      </c>
      <c r="I112" s="65">
        <f>I111+2</f>
        <v>21</v>
      </c>
      <c r="J112" s="65" t="str">
        <f t="shared" si="14"/>
        <v>21-1T0104/*-*</v>
      </c>
      <c r="K112" s="65" t="s">
        <v>33</v>
      </c>
      <c r="L112" s="65" t="s">
        <v>33</v>
      </c>
      <c r="M112" s="65" t="str">
        <f t="shared" si="15"/>
        <v>*-*/1T0104-21</v>
      </c>
      <c r="N112" s="159"/>
      <c r="O112" s="159"/>
      <c r="P112" s="68" t="s">
        <v>262</v>
      </c>
      <c r="Q112" s="162"/>
    </row>
    <row r="113" spans="2:17" ht="30" customHeight="1" x14ac:dyDescent="0.3">
      <c r="B113" s="87"/>
      <c r="C113" s="159"/>
      <c r="D113" s="89"/>
      <c r="E113" s="67" t="s">
        <v>16</v>
      </c>
      <c r="F113" s="77">
        <v>1</v>
      </c>
      <c r="G113" s="80">
        <v>4</v>
      </c>
      <c r="H113" s="69" t="str">
        <f t="shared" si="13"/>
        <v>1T0104</v>
      </c>
      <c r="I113" s="65">
        <f>I112+2</f>
        <v>23</v>
      </c>
      <c r="J113" s="65" t="str">
        <f t="shared" si="14"/>
        <v>23-1T0104/*-*</v>
      </c>
      <c r="K113" s="65" t="s">
        <v>33</v>
      </c>
      <c r="L113" s="65" t="s">
        <v>33</v>
      </c>
      <c r="M113" s="65" t="str">
        <f t="shared" si="15"/>
        <v>*-*/1T0104-23</v>
      </c>
      <c r="N113" s="159"/>
      <c r="O113" s="159"/>
      <c r="P113" s="68" t="s">
        <v>263</v>
      </c>
      <c r="Q113" s="162"/>
    </row>
    <row r="114" spans="2:17" ht="30" customHeight="1" x14ac:dyDescent="0.3">
      <c r="B114" s="87"/>
      <c r="C114" s="159"/>
      <c r="D114" s="89"/>
      <c r="E114" s="67" t="s">
        <v>17</v>
      </c>
      <c r="F114" s="77">
        <v>1</v>
      </c>
      <c r="G114" s="80">
        <v>4</v>
      </c>
      <c r="H114" s="69" t="str">
        <f t="shared" si="13"/>
        <v>1T0104</v>
      </c>
      <c r="I114" s="65">
        <f>I113+1</f>
        <v>24</v>
      </c>
      <c r="J114" s="65" t="str">
        <f t="shared" si="14"/>
        <v>24-1T0104/*-*</v>
      </c>
      <c r="K114" s="65" t="s">
        <v>33</v>
      </c>
      <c r="L114" s="65" t="s">
        <v>33</v>
      </c>
      <c r="M114" s="65" t="str">
        <f t="shared" si="15"/>
        <v>*-*/1T0104-24</v>
      </c>
      <c r="N114" s="159"/>
      <c r="O114" s="159"/>
      <c r="P114" s="68" t="s">
        <v>31</v>
      </c>
      <c r="Q114" s="163"/>
    </row>
    <row r="115" spans="2:17" ht="30" customHeight="1" x14ac:dyDescent="0.3">
      <c r="B115" s="87"/>
      <c r="C115" s="159"/>
      <c r="D115" s="89"/>
      <c r="E115" s="67" t="s">
        <v>18</v>
      </c>
      <c r="F115" s="77">
        <v>4</v>
      </c>
      <c r="G115" s="80">
        <v>1</v>
      </c>
      <c r="H115" s="69" t="str">
        <f t="shared" si="13"/>
        <v>1T0401</v>
      </c>
      <c r="I115" s="65">
        <v>19</v>
      </c>
      <c r="J115" s="65" t="str">
        <f t="shared" si="14"/>
        <v>19-1T0401/*-*</v>
      </c>
      <c r="K115" s="65" t="s">
        <v>33</v>
      </c>
      <c r="L115" s="65" t="s">
        <v>33</v>
      </c>
      <c r="M115" s="65" t="str">
        <f t="shared" si="15"/>
        <v>*-*/1T0401-19</v>
      </c>
      <c r="N115" s="159"/>
      <c r="O115" s="159"/>
      <c r="P115" s="68" t="s">
        <v>225</v>
      </c>
      <c r="Q115" s="161" t="str" cm="1">
        <f t="array" ref="Q115">UPPER(
   "In PLC side, " &amp;
   _xlfn.TEXTJOIN(", ", TRUE,
      H115:INDEX(H115:H124, MATCH("COMMON",P115:P124,0)-2) &amp;
      ": " &amp;
      (I115:INDEX(I115:I124, MATCH("COMMON",P115:P124,0)-2)+1)
   ) &amp;
   " &amp; " &amp;
   INDEX(H115:H124, MATCH("COMMON",P115:P124,0)-1) &amp; ": " &amp;
   INDEX(I115:I124, MATCH("COMMON",P115:P124,0)-1)+1 &amp;
   " are already looped"
)</f>
        <v>IN PLC SIDE, 1T0401: 20 &amp; 1T0401: 22 ARE ALREADY LOOPED</v>
      </c>
    </row>
    <row r="116" spans="2:17" ht="30" customHeight="1" x14ac:dyDescent="0.45">
      <c r="B116" s="87"/>
      <c r="C116" s="159"/>
      <c r="D116" s="89"/>
      <c r="E116" s="67" t="s">
        <v>19</v>
      </c>
      <c r="F116" s="77">
        <v>4</v>
      </c>
      <c r="G116" s="80">
        <v>1</v>
      </c>
      <c r="H116" s="69" t="str">
        <f t="shared" si="13"/>
        <v>1T0401</v>
      </c>
      <c r="I116" s="65">
        <f>I115+2</f>
        <v>21</v>
      </c>
      <c r="J116" s="65" t="str">
        <f t="shared" si="14"/>
        <v>21-1T0401/*-*</v>
      </c>
      <c r="K116" s="65" t="s">
        <v>33</v>
      </c>
      <c r="L116" s="65" t="s">
        <v>33</v>
      </c>
      <c r="M116" s="65" t="str">
        <f t="shared" si="15"/>
        <v>*-*/1T0401-21</v>
      </c>
      <c r="N116" s="159"/>
      <c r="O116" s="159"/>
      <c r="P116" s="75" t="s">
        <v>226</v>
      </c>
      <c r="Q116" s="162"/>
    </row>
    <row r="117" spans="2:17" ht="30" customHeight="1" x14ac:dyDescent="0.3">
      <c r="B117" s="87"/>
      <c r="C117" s="159"/>
      <c r="D117" s="89"/>
      <c r="E117" s="67" t="s">
        <v>20</v>
      </c>
      <c r="F117" s="77">
        <v>4</v>
      </c>
      <c r="G117" s="80">
        <v>1</v>
      </c>
      <c r="H117" s="69" t="str">
        <f t="shared" si="13"/>
        <v>1T0401</v>
      </c>
      <c r="I117" s="65">
        <f>I116+1</f>
        <v>22</v>
      </c>
      <c r="J117" s="65" t="str">
        <f t="shared" si="14"/>
        <v>22-1T0401/*-*</v>
      </c>
      <c r="K117" s="65" t="s">
        <v>33</v>
      </c>
      <c r="L117" s="65" t="s">
        <v>33</v>
      </c>
      <c r="M117" s="65" t="str">
        <f t="shared" si="15"/>
        <v>*-*/1T0401-22</v>
      </c>
      <c r="N117" s="159"/>
      <c r="O117" s="159"/>
      <c r="P117" s="68" t="s">
        <v>31</v>
      </c>
      <c r="Q117" s="162"/>
    </row>
    <row r="118" spans="2:17" ht="30" customHeight="1" x14ac:dyDescent="0.3">
      <c r="B118" s="87"/>
      <c r="C118" s="159"/>
      <c r="D118" s="89"/>
      <c r="E118" s="67" t="s">
        <v>21</v>
      </c>
      <c r="F118" s="77" t="s">
        <v>45</v>
      </c>
      <c r="G118" s="80" t="s">
        <v>45</v>
      </c>
      <c r="H118" s="69" t="s">
        <v>45</v>
      </c>
      <c r="I118" s="65" t="s">
        <v>45</v>
      </c>
      <c r="J118" s="65" t="s">
        <v>45</v>
      </c>
      <c r="K118" s="65" t="s">
        <v>45</v>
      </c>
      <c r="L118" s="65" t="s">
        <v>45</v>
      </c>
      <c r="M118" s="65" t="s">
        <v>45</v>
      </c>
      <c r="N118" s="159"/>
      <c r="O118" s="159"/>
      <c r="P118" s="68" t="s">
        <v>34</v>
      </c>
      <c r="Q118" s="162"/>
    </row>
    <row r="119" spans="2:17" ht="30" customHeight="1" x14ac:dyDescent="0.3">
      <c r="B119" s="87"/>
      <c r="C119" s="159"/>
      <c r="D119" s="89"/>
      <c r="E119" s="67" t="s">
        <v>30</v>
      </c>
      <c r="F119" s="77" t="s">
        <v>45</v>
      </c>
      <c r="G119" s="80" t="s">
        <v>45</v>
      </c>
      <c r="H119" s="69" t="s">
        <v>45</v>
      </c>
      <c r="I119" s="65" t="s">
        <v>45</v>
      </c>
      <c r="J119" s="65" t="s">
        <v>45</v>
      </c>
      <c r="K119" s="65" t="s">
        <v>45</v>
      </c>
      <c r="L119" s="65" t="s">
        <v>45</v>
      </c>
      <c r="M119" s="65" t="s">
        <v>45</v>
      </c>
      <c r="N119" s="159"/>
      <c r="O119" s="159"/>
      <c r="P119" s="68" t="s">
        <v>34</v>
      </c>
      <c r="Q119" s="163"/>
    </row>
    <row r="120" spans="2:17" ht="30" customHeight="1" x14ac:dyDescent="0.3">
      <c r="B120" s="87">
        <f>B110+1</f>
        <v>11</v>
      </c>
      <c r="C120" s="159" t="str">
        <f t="shared" ref="C120" si="22">N120&amp;" - PLC"</f>
        <v>VTP-07/HT - PLC</v>
      </c>
      <c r="D120" s="89" t="s">
        <v>201</v>
      </c>
      <c r="E120" s="67" t="s">
        <v>13</v>
      </c>
      <c r="F120" s="77">
        <v>1</v>
      </c>
      <c r="G120" s="80">
        <v>4</v>
      </c>
      <c r="H120" s="69" t="str">
        <f t="shared" si="13"/>
        <v>1T0104</v>
      </c>
      <c r="I120" s="65">
        <v>25</v>
      </c>
      <c r="J120" s="65" t="str">
        <f t="shared" si="14"/>
        <v>25-1T0104/*-*</v>
      </c>
      <c r="K120" s="65" t="s">
        <v>33</v>
      </c>
      <c r="L120" s="65" t="s">
        <v>33</v>
      </c>
      <c r="M120" s="65" t="str">
        <f t="shared" si="15"/>
        <v>*-*/1T0104-25</v>
      </c>
      <c r="N120" s="159" t="s">
        <v>230</v>
      </c>
      <c r="O120" s="159" t="s">
        <v>210</v>
      </c>
      <c r="P120" s="68" t="s">
        <v>41</v>
      </c>
      <c r="Q120" s="89" t="str" cm="1">
        <f t="array" ref="Q120">UPPER(
   "In PLC side, " &amp;
   _xlfn.TEXTJOIN(", ", TRUE,
      H120:INDEX(H120:H131, MATCH("COMMON",P120:P131,0)-2) &amp;
      ": " &amp;
      (I120:INDEX(I120:I131, MATCH("COMMON",P120:P131,0)-2)+1)
   ) &amp;
   " &amp; " &amp;
   INDEX(H120:H131, MATCH("COMMON",P120:P131,0)-1) &amp; ": " &amp;
   INDEX(I120:I131, MATCH("COMMON",P120:P131,0)-1)+1 &amp;
   " are already looped"
)</f>
        <v>IN PLC SIDE, 1T0104: 26, 1T0105: 2, 1T0105: 4, 1T0105: 6, 1T0105: 8 &amp; 1T0105: 10 ARE ALREADY LOOPED</v>
      </c>
    </row>
    <row r="121" spans="2:17" ht="30" customHeight="1" x14ac:dyDescent="0.3">
      <c r="B121" s="87"/>
      <c r="C121" s="159"/>
      <c r="D121" s="89"/>
      <c r="E121" s="67" t="s">
        <v>14</v>
      </c>
      <c r="F121" s="77">
        <v>1</v>
      </c>
      <c r="G121" s="80">
        <v>5</v>
      </c>
      <c r="H121" s="69" t="str">
        <f t="shared" si="13"/>
        <v>1T0105</v>
      </c>
      <c r="I121" s="65">
        <v>1</v>
      </c>
      <c r="J121" s="65" t="str">
        <f t="shared" si="14"/>
        <v>1-1T0105/*-*</v>
      </c>
      <c r="K121" s="65" t="s">
        <v>33</v>
      </c>
      <c r="L121" s="65" t="s">
        <v>33</v>
      </c>
      <c r="M121" s="65" t="str">
        <f t="shared" si="15"/>
        <v>*-*/1T0105-1</v>
      </c>
      <c r="N121" s="159"/>
      <c r="O121" s="159"/>
      <c r="P121" s="68" t="s">
        <v>42</v>
      </c>
      <c r="Q121" s="89"/>
    </row>
    <row r="122" spans="2:17" ht="30" customHeight="1" x14ac:dyDescent="0.3">
      <c r="B122" s="87"/>
      <c r="C122" s="159"/>
      <c r="D122" s="89"/>
      <c r="E122" s="67" t="s">
        <v>15</v>
      </c>
      <c r="F122" s="77">
        <v>1</v>
      </c>
      <c r="G122" s="80">
        <v>5</v>
      </c>
      <c r="H122" s="69" t="str">
        <f t="shared" si="13"/>
        <v>1T0105</v>
      </c>
      <c r="I122" s="65">
        <f>I121+2</f>
        <v>3</v>
      </c>
      <c r="J122" s="65" t="str">
        <f t="shared" si="14"/>
        <v>3-1T0105/*-*</v>
      </c>
      <c r="K122" s="65" t="s">
        <v>33</v>
      </c>
      <c r="L122" s="65" t="s">
        <v>33</v>
      </c>
      <c r="M122" s="65" t="str">
        <f t="shared" si="15"/>
        <v>*-*/1T0105-3</v>
      </c>
      <c r="N122" s="159"/>
      <c r="O122" s="159"/>
      <c r="P122" s="68" t="s">
        <v>262</v>
      </c>
      <c r="Q122" s="89"/>
    </row>
    <row r="123" spans="2:17" ht="30" customHeight="1" x14ac:dyDescent="0.3">
      <c r="B123" s="87"/>
      <c r="C123" s="159"/>
      <c r="D123" s="89"/>
      <c r="E123" s="67" t="s">
        <v>16</v>
      </c>
      <c r="F123" s="77">
        <v>1</v>
      </c>
      <c r="G123" s="80">
        <v>5</v>
      </c>
      <c r="H123" s="69" t="str">
        <f t="shared" si="13"/>
        <v>1T0105</v>
      </c>
      <c r="I123" s="65">
        <f>I122+2</f>
        <v>5</v>
      </c>
      <c r="J123" s="65" t="str">
        <f t="shared" si="14"/>
        <v>5-1T0105/*-*</v>
      </c>
      <c r="K123" s="65" t="s">
        <v>33</v>
      </c>
      <c r="L123" s="65" t="s">
        <v>33</v>
      </c>
      <c r="M123" s="65" t="str">
        <f t="shared" si="15"/>
        <v>*-*/1T0105-5</v>
      </c>
      <c r="N123" s="159"/>
      <c r="O123" s="159"/>
      <c r="P123" s="68" t="s">
        <v>263</v>
      </c>
      <c r="Q123" s="89"/>
    </row>
    <row r="124" spans="2:17" ht="30" customHeight="1" x14ac:dyDescent="0.3">
      <c r="B124" s="87"/>
      <c r="C124" s="159"/>
      <c r="D124" s="89"/>
      <c r="E124" s="67" t="s">
        <v>17</v>
      </c>
      <c r="F124" s="77">
        <v>1</v>
      </c>
      <c r="G124" s="80">
        <v>5</v>
      </c>
      <c r="H124" s="69" t="str">
        <f t="shared" si="13"/>
        <v>1T0105</v>
      </c>
      <c r="I124" s="65">
        <f>I123+2</f>
        <v>7</v>
      </c>
      <c r="J124" s="65" t="str">
        <f t="shared" si="14"/>
        <v>7-1T0105/*-*</v>
      </c>
      <c r="K124" s="65" t="s">
        <v>33</v>
      </c>
      <c r="L124" s="65" t="s">
        <v>33</v>
      </c>
      <c r="M124" s="65" t="str">
        <f t="shared" si="15"/>
        <v>*-*/1T0105-7</v>
      </c>
      <c r="N124" s="159"/>
      <c r="O124" s="159"/>
      <c r="P124" s="68" t="s">
        <v>264</v>
      </c>
      <c r="Q124" s="89"/>
    </row>
    <row r="125" spans="2:17" ht="30" customHeight="1" x14ac:dyDescent="0.3">
      <c r="B125" s="87"/>
      <c r="C125" s="159"/>
      <c r="D125" s="89"/>
      <c r="E125" s="67" t="s">
        <v>18</v>
      </c>
      <c r="F125" s="77">
        <v>1</v>
      </c>
      <c r="G125" s="80">
        <v>5</v>
      </c>
      <c r="H125" s="69" t="str">
        <f t="shared" si="13"/>
        <v>1T0105</v>
      </c>
      <c r="I125" s="65">
        <f>I124+2</f>
        <v>9</v>
      </c>
      <c r="J125" s="65" t="str">
        <f t="shared" si="14"/>
        <v>9-1T0105/*-*</v>
      </c>
      <c r="K125" s="65" t="s">
        <v>33</v>
      </c>
      <c r="L125" s="65" t="s">
        <v>33</v>
      </c>
      <c r="M125" s="65" t="str">
        <f t="shared" si="15"/>
        <v>*-*/1T0105-9</v>
      </c>
      <c r="N125" s="159"/>
      <c r="O125" s="159"/>
      <c r="P125" s="68" t="s">
        <v>265</v>
      </c>
      <c r="Q125" s="89"/>
    </row>
    <row r="126" spans="2:17" ht="30" customHeight="1" x14ac:dyDescent="0.45">
      <c r="B126" s="87"/>
      <c r="C126" s="159"/>
      <c r="D126" s="89"/>
      <c r="E126" s="67" t="s">
        <v>19</v>
      </c>
      <c r="F126" s="77">
        <v>1</v>
      </c>
      <c r="G126" s="80">
        <v>5</v>
      </c>
      <c r="H126" s="69" t="str">
        <f t="shared" si="13"/>
        <v>1T0105</v>
      </c>
      <c r="I126" s="65">
        <f>I125+1</f>
        <v>10</v>
      </c>
      <c r="J126" s="65" t="str">
        <f t="shared" si="14"/>
        <v>10-1T0105/*-*</v>
      </c>
      <c r="K126" s="65" t="s">
        <v>33</v>
      </c>
      <c r="L126" s="65" t="s">
        <v>33</v>
      </c>
      <c r="M126" s="65" t="str">
        <f t="shared" si="15"/>
        <v>*-*/1T0105-10</v>
      </c>
      <c r="N126" s="159"/>
      <c r="O126" s="159"/>
      <c r="P126" s="75" t="s">
        <v>31</v>
      </c>
      <c r="Q126" s="89"/>
    </row>
    <row r="127" spans="2:17" ht="30" customHeight="1" x14ac:dyDescent="0.3">
      <c r="B127" s="87"/>
      <c r="C127" s="159"/>
      <c r="D127" s="89"/>
      <c r="E127" s="67" t="s">
        <v>20</v>
      </c>
      <c r="F127" s="77">
        <v>4</v>
      </c>
      <c r="G127" s="80">
        <v>1</v>
      </c>
      <c r="H127" s="69" t="str">
        <f t="shared" si="13"/>
        <v>1T0401</v>
      </c>
      <c r="I127" s="65">
        <v>23</v>
      </c>
      <c r="J127" s="65" t="str">
        <f t="shared" si="14"/>
        <v>23-1T0401/*-*</v>
      </c>
      <c r="K127" s="65" t="s">
        <v>33</v>
      </c>
      <c r="L127" s="65" t="s">
        <v>33</v>
      </c>
      <c r="M127" s="65" t="str">
        <f t="shared" si="15"/>
        <v>*-*/1T0401-23</v>
      </c>
      <c r="N127" s="159"/>
      <c r="O127" s="159"/>
      <c r="P127" s="68" t="s">
        <v>225</v>
      </c>
      <c r="Q127" s="161" t="str" cm="1">
        <f t="array" ref="Q127">UPPER(
   "In PLC side, " &amp;
   _xlfn.TEXTJOIN(", ", TRUE,
      H127:INDEX(H127:H136, MATCH("COMMON",P127:P136,0)-2) &amp;
      ": " &amp;
      (I127:INDEX(I127:I136, MATCH("COMMON",P127:P136,0)-2)+1)
   ) &amp;
   " &amp; " &amp;
   INDEX(H127:H136, MATCH("COMMON",P127:P136,0)-1) &amp; ": " &amp;
   INDEX(I127:I136, MATCH("COMMON",P127:P136,0)-1)+1 &amp;
   " are already looped"
)</f>
        <v>IN PLC SIDE, 1T0401: 24 &amp; 1T0401: 26 ARE ALREADY LOOPED</v>
      </c>
    </row>
    <row r="128" spans="2:17" ht="30" customHeight="1" x14ac:dyDescent="0.3">
      <c r="B128" s="87"/>
      <c r="C128" s="159"/>
      <c r="D128" s="89"/>
      <c r="E128" s="67" t="s">
        <v>21</v>
      </c>
      <c r="F128" s="77">
        <v>4</v>
      </c>
      <c r="G128" s="80">
        <v>1</v>
      </c>
      <c r="H128" s="69" t="str">
        <f t="shared" si="13"/>
        <v>1T0401</v>
      </c>
      <c r="I128" s="65">
        <f>I127+2</f>
        <v>25</v>
      </c>
      <c r="J128" s="65" t="str">
        <f t="shared" si="14"/>
        <v>25-1T0401/*-*</v>
      </c>
      <c r="K128" s="65" t="s">
        <v>33</v>
      </c>
      <c r="L128" s="65" t="s">
        <v>33</v>
      </c>
      <c r="M128" s="65" t="str">
        <f t="shared" si="15"/>
        <v>*-*/1T0401-25</v>
      </c>
      <c r="N128" s="159"/>
      <c r="O128" s="159"/>
      <c r="P128" s="68" t="s">
        <v>226</v>
      </c>
      <c r="Q128" s="162"/>
    </row>
    <row r="129" spans="2:17" ht="30" customHeight="1" x14ac:dyDescent="0.3">
      <c r="B129" s="87"/>
      <c r="C129" s="159"/>
      <c r="D129" s="89"/>
      <c r="E129" s="67" t="s">
        <v>30</v>
      </c>
      <c r="F129" s="77">
        <v>4</v>
      </c>
      <c r="G129" s="80">
        <v>1</v>
      </c>
      <c r="H129" s="69" t="str">
        <f t="shared" si="13"/>
        <v>1T0401</v>
      </c>
      <c r="I129" s="65">
        <f>I128+1</f>
        <v>26</v>
      </c>
      <c r="J129" s="65" t="str">
        <f t="shared" si="14"/>
        <v>26-1T0401/*-*</v>
      </c>
      <c r="K129" s="65" t="s">
        <v>33</v>
      </c>
      <c r="L129" s="65" t="s">
        <v>33</v>
      </c>
      <c r="M129" s="65" t="str">
        <f t="shared" si="15"/>
        <v>*-*/1T0401-26</v>
      </c>
      <c r="N129" s="159"/>
      <c r="O129" s="159"/>
      <c r="P129" s="68" t="s">
        <v>31</v>
      </c>
      <c r="Q129" s="162"/>
    </row>
    <row r="130" spans="2:17" ht="30" customHeight="1" x14ac:dyDescent="0.3">
      <c r="B130" s="87"/>
      <c r="C130" s="159"/>
      <c r="D130" s="89"/>
      <c r="E130" s="65" t="s">
        <v>323</v>
      </c>
      <c r="F130" s="77" t="s">
        <v>45</v>
      </c>
      <c r="G130" s="80" t="s">
        <v>45</v>
      </c>
      <c r="H130" s="69" t="s">
        <v>45</v>
      </c>
      <c r="I130" s="65" t="s">
        <v>45</v>
      </c>
      <c r="J130" s="65" t="s">
        <v>45</v>
      </c>
      <c r="K130" s="65" t="s">
        <v>45</v>
      </c>
      <c r="L130" s="65" t="s">
        <v>45</v>
      </c>
      <c r="M130" s="65" t="s">
        <v>45</v>
      </c>
      <c r="N130" s="159"/>
      <c r="O130" s="159"/>
      <c r="P130" s="68" t="s">
        <v>34</v>
      </c>
      <c r="Q130" s="162"/>
    </row>
    <row r="131" spans="2:17" ht="30" customHeight="1" x14ac:dyDescent="0.45">
      <c r="B131" s="87"/>
      <c r="C131" s="159"/>
      <c r="D131" s="89"/>
      <c r="E131" s="65" t="s">
        <v>324</v>
      </c>
      <c r="F131" s="77" t="s">
        <v>45</v>
      </c>
      <c r="G131" s="80" t="s">
        <v>45</v>
      </c>
      <c r="H131" s="69" t="s">
        <v>45</v>
      </c>
      <c r="I131" s="65" t="s">
        <v>45</v>
      </c>
      <c r="J131" s="65" t="s">
        <v>45</v>
      </c>
      <c r="K131" s="65" t="s">
        <v>45</v>
      </c>
      <c r="L131" s="65" t="s">
        <v>45</v>
      </c>
      <c r="M131" s="65" t="s">
        <v>45</v>
      </c>
      <c r="N131" s="159"/>
      <c r="O131" s="159"/>
      <c r="P131" s="75" t="s">
        <v>34</v>
      </c>
      <c r="Q131" s="163"/>
    </row>
    <row r="132" spans="2:17" ht="30" customHeight="1" x14ac:dyDescent="0.3">
      <c r="B132" s="87">
        <f t="shared" ref="B132" si="23">B120+1</f>
        <v>12</v>
      </c>
      <c r="C132" s="159" t="str">
        <f t="shared" ref="C132" si="24">N132&amp;" - PLC"</f>
        <v>VTP-08/HT - PLC</v>
      </c>
      <c r="D132" s="89" t="s">
        <v>201</v>
      </c>
      <c r="E132" s="67" t="s">
        <v>13</v>
      </c>
      <c r="F132" s="77">
        <v>1</v>
      </c>
      <c r="G132" s="80">
        <v>5</v>
      </c>
      <c r="H132" s="69" t="str">
        <f t="shared" si="13"/>
        <v>1T0105</v>
      </c>
      <c r="I132" s="65">
        <v>19</v>
      </c>
      <c r="J132" s="65" t="str">
        <f t="shared" si="14"/>
        <v>19-1T0105/*-*</v>
      </c>
      <c r="K132" s="65" t="s">
        <v>33</v>
      </c>
      <c r="L132" s="65" t="s">
        <v>33</v>
      </c>
      <c r="M132" s="65" t="str">
        <f t="shared" si="15"/>
        <v>*-*/1T0105-19</v>
      </c>
      <c r="N132" s="159" t="s">
        <v>231</v>
      </c>
      <c r="O132" s="159" t="s">
        <v>211</v>
      </c>
      <c r="P132" s="68" t="s">
        <v>41</v>
      </c>
      <c r="Q132" s="89" t="str" cm="1">
        <f t="array" ref="Q132">UPPER(
   "In PLC side, " &amp;
   _xlfn.TEXTJOIN(", ", TRUE,
      H132:INDEX(H132:H143, MATCH("COMMON",P132:P143,0)-2) &amp;
      ": " &amp;
      (I132:INDEX(I132:I143, MATCH("COMMON",P132:P143,0)-2)+1)
   ) &amp;
   " &amp; " &amp;
   INDEX(H132:H143, MATCH("COMMON",P132:P143,0)-1) &amp; ": " &amp;
   INDEX(I132:I143, MATCH("COMMON",P132:P143,0)-1)+1 &amp;
   " are already looped"
)</f>
        <v>IN PLC SIDE, 1T0105: 20, 1T0105: 22, 1T0105: 24, 1T0105: 26, 1T0106: 2 &amp; 1T0106: 4 ARE ALREADY LOOPED</v>
      </c>
    </row>
    <row r="133" spans="2:17" ht="30" customHeight="1" x14ac:dyDescent="0.3">
      <c r="B133" s="87"/>
      <c r="C133" s="159"/>
      <c r="D133" s="89"/>
      <c r="E133" s="67" t="s">
        <v>14</v>
      </c>
      <c r="F133" s="77">
        <v>1</v>
      </c>
      <c r="G133" s="80">
        <v>5</v>
      </c>
      <c r="H133" s="69" t="str">
        <f t="shared" si="13"/>
        <v>1T0105</v>
      </c>
      <c r="I133" s="65">
        <f>I132+2</f>
        <v>21</v>
      </c>
      <c r="J133" s="65" t="str">
        <f t="shared" si="14"/>
        <v>21-1T0105/*-*</v>
      </c>
      <c r="K133" s="65" t="s">
        <v>33</v>
      </c>
      <c r="L133" s="65" t="s">
        <v>33</v>
      </c>
      <c r="M133" s="65" t="str">
        <f t="shared" si="15"/>
        <v>*-*/1T0105-21</v>
      </c>
      <c r="N133" s="159"/>
      <c r="O133" s="159"/>
      <c r="P133" s="68" t="s">
        <v>42</v>
      </c>
      <c r="Q133" s="89"/>
    </row>
    <row r="134" spans="2:17" ht="30" customHeight="1" x14ac:dyDescent="0.3">
      <c r="B134" s="87"/>
      <c r="C134" s="159"/>
      <c r="D134" s="89"/>
      <c r="E134" s="67" t="s">
        <v>15</v>
      </c>
      <c r="F134" s="77">
        <v>1</v>
      </c>
      <c r="G134" s="80">
        <v>5</v>
      </c>
      <c r="H134" s="69" t="str">
        <f t="shared" si="13"/>
        <v>1T0105</v>
      </c>
      <c r="I134" s="65">
        <f>I133+2</f>
        <v>23</v>
      </c>
      <c r="J134" s="65" t="str">
        <f t="shared" si="14"/>
        <v>23-1T0105/*-*</v>
      </c>
      <c r="K134" s="65" t="s">
        <v>33</v>
      </c>
      <c r="L134" s="65" t="s">
        <v>33</v>
      </c>
      <c r="M134" s="65" t="str">
        <f t="shared" si="15"/>
        <v>*-*/1T0105-23</v>
      </c>
      <c r="N134" s="159"/>
      <c r="O134" s="159"/>
      <c r="P134" s="68" t="s">
        <v>262</v>
      </c>
      <c r="Q134" s="89"/>
    </row>
    <row r="135" spans="2:17" ht="30" customHeight="1" x14ac:dyDescent="0.3">
      <c r="B135" s="87"/>
      <c r="C135" s="159"/>
      <c r="D135" s="89"/>
      <c r="E135" s="67" t="s">
        <v>16</v>
      </c>
      <c r="F135" s="77">
        <v>1</v>
      </c>
      <c r="G135" s="80">
        <v>5</v>
      </c>
      <c r="H135" s="69" t="str">
        <f t="shared" si="13"/>
        <v>1T0105</v>
      </c>
      <c r="I135" s="65">
        <f>I134+2</f>
        <v>25</v>
      </c>
      <c r="J135" s="65" t="str">
        <f t="shared" si="14"/>
        <v>25-1T0105/*-*</v>
      </c>
      <c r="K135" s="65" t="s">
        <v>33</v>
      </c>
      <c r="L135" s="65" t="s">
        <v>33</v>
      </c>
      <c r="M135" s="65" t="str">
        <f t="shared" si="15"/>
        <v>*-*/1T0105-25</v>
      </c>
      <c r="N135" s="159"/>
      <c r="O135" s="159"/>
      <c r="P135" s="68" t="s">
        <v>263</v>
      </c>
      <c r="Q135" s="89"/>
    </row>
    <row r="136" spans="2:17" ht="30" customHeight="1" x14ac:dyDescent="0.3">
      <c r="B136" s="87"/>
      <c r="C136" s="159"/>
      <c r="D136" s="89"/>
      <c r="E136" s="67" t="s">
        <v>17</v>
      </c>
      <c r="F136" s="77">
        <v>1</v>
      </c>
      <c r="G136" s="80">
        <v>6</v>
      </c>
      <c r="H136" s="69" t="str">
        <f t="shared" si="13"/>
        <v>1T0106</v>
      </c>
      <c r="I136" s="65">
        <v>1</v>
      </c>
      <c r="J136" s="65" t="str">
        <f t="shared" si="14"/>
        <v>1-1T0106/*-*</v>
      </c>
      <c r="K136" s="65" t="s">
        <v>33</v>
      </c>
      <c r="L136" s="65" t="s">
        <v>33</v>
      </c>
      <c r="M136" s="65" t="str">
        <f t="shared" si="15"/>
        <v>*-*/1T0106-1</v>
      </c>
      <c r="N136" s="159"/>
      <c r="O136" s="159"/>
      <c r="P136" s="68" t="s">
        <v>264</v>
      </c>
      <c r="Q136" s="89"/>
    </row>
    <row r="137" spans="2:17" ht="30" customHeight="1" x14ac:dyDescent="0.3">
      <c r="B137" s="87"/>
      <c r="C137" s="159"/>
      <c r="D137" s="89"/>
      <c r="E137" s="67" t="s">
        <v>18</v>
      </c>
      <c r="F137" s="77">
        <v>1</v>
      </c>
      <c r="G137" s="80">
        <v>6</v>
      </c>
      <c r="H137" s="69" t="str">
        <f t="shared" ref="H137:H196" si="25">"1T"&amp;TEXT(F137,"00")&amp;TEXT(G137,"00")</f>
        <v>1T0106</v>
      </c>
      <c r="I137" s="65">
        <f>I136+2</f>
        <v>3</v>
      </c>
      <c r="J137" s="65" t="str">
        <f t="shared" ref="J137:J196" si="26">CONCATENATE(I137,"-",H137,"/",K137,"-",L137)</f>
        <v>3-1T0106/*-*</v>
      </c>
      <c r="K137" s="65" t="s">
        <v>33</v>
      </c>
      <c r="L137" s="65" t="s">
        <v>33</v>
      </c>
      <c r="M137" s="65" t="str">
        <f t="shared" ref="M137:M196" si="27">CONCATENATE(L137,"-",K137,"/",H137,"-",I137)</f>
        <v>*-*/1T0106-3</v>
      </c>
      <c r="N137" s="159"/>
      <c r="O137" s="159"/>
      <c r="P137" s="68" t="s">
        <v>265</v>
      </c>
      <c r="Q137" s="89"/>
    </row>
    <row r="138" spans="2:17" ht="30" customHeight="1" x14ac:dyDescent="0.45">
      <c r="B138" s="87"/>
      <c r="C138" s="159"/>
      <c r="D138" s="89"/>
      <c r="E138" s="67" t="s">
        <v>19</v>
      </c>
      <c r="F138" s="77">
        <v>1</v>
      </c>
      <c r="G138" s="80">
        <v>6</v>
      </c>
      <c r="H138" s="69" t="str">
        <f t="shared" si="25"/>
        <v>1T0106</v>
      </c>
      <c r="I138" s="65">
        <f>I137+1</f>
        <v>4</v>
      </c>
      <c r="J138" s="65" t="str">
        <f t="shared" si="26"/>
        <v>4-1T0106/*-*</v>
      </c>
      <c r="K138" s="65" t="s">
        <v>33</v>
      </c>
      <c r="L138" s="65" t="s">
        <v>33</v>
      </c>
      <c r="M138" s="65" t="str">
        <f t="shared" si="27"/>
        <v>*-*/1T0106-4</v>
      </c>
      <c r="N138" s="159"/>
      <c r="O138" s="159"/>
      <c r="P138" s="75" t="s">
        <v>31</v>
      </c>
      <c r="Q138" s="89"/>
    </row>
    <row r="139" spans="2:17" ht="30" customHeight="1" x14ac:dyDescent="0.3">
      <c r="B139" s="87"/>
      <c r="C139" s="159"/>
      <c r="D139" s="89"/>
      <c r="E139" s="67" t="s">
        <v>20</v>
      </c>
      <c r="F139" s="77">
        <v>4</v>
      </c>
      <c r="G139" s="80">
        <v>2</v>
      </c>
      <c r="H139" s="69" t="str">
        <f t="shared" si="25"/>
        <v>1T0402</v>
      </c>
      <c r="I139" s="65">
        <v>5</v>
      </c>
      <c r="J139" s="65" t="str">
        <f t="shared" si="26"/>
        <v>5-1T0402/*-*</v>
      </c>
      <c r="K139" s="65" t="s">
        <v>33</v>
      </c>
      <c r="L139" s="65" t="s">
        <v>33</v>
      </c>
      <c r="M139" s="65" t="str">
        <f t="shared" si="27"/>
        <v>*-*/1T0402-5</v>
      </c>
      <c r="N139" s="159"/>
      <c r="O139" s="159"/>
      <c r="P139" s="68" t="s">
        <v>225</v>
      </c>
      <c r="Q139" s="161" t="str" cm="1">
        <f t="array" ref="Q139">UPPER(
   "In PLC side, " &amp;
   _xlfn.TEXTJOIN(", ", TRUE,
      H139:INDEX(H139:H148, MATCH("COMMON",P139:P148,0)-2) &amp;
      ": " &amp;
      (I139:INDEX(I139:I148, MATCH("COMMON",P139:P148,0)-2)+1)
   ) &amp;
   " &amp; " &amp;
   INDEX(H139:H148, MATCH("COMMON",P139:P148,0)-1) &amp; ": " &amp;
   INDEX(I139:I148, MATCH("COMMON",P139:P148,0)-1)+1 &amp;
   " are already looped"
)</f>
        <v>IN PLC SIDE, 1T0402: 6 &amp; 1T0402: 8 ARE ALREADY LOOPED</v>
      </c>
    </row>
    <row r="140" spans="2:17" ht="30" customHeight="1" x14ac:dyDescent="0.3">
      <c r="B140" s="87"/>
      <c r="C140" s="159"/>
      <c r="D140" s="89"/>
      <c r="E140" s="67" t="s">
        <v>21</v>
      </c>
      <c r="F140" s="77">
        <v>4</v>
      </c>
      <c r="G140" s="80">
        <v>2</v>
      </c>
      <c r="H140" s="69" t="str">
        <f t="shared" si="25"/>
        <v>1T0402</v>
      </c>
      <c r="I140" s="65">
        <f>I139+2</f>
        <v>7</v>
      </c>
      <c r="J140" s="65" t="str">
        <f t="shared" si="26"/>
        <v>7-1T0402/*-*</v>
      </c>
      <c r="K140" s="65" t="s">
        <v>33</v>
      </c>
      <c r="L140" s="65" t="s">
        <v>33</v>
      </c>
      <c r="M140" s="65" t="str">
        <f t="shared" si="27"/>
        <v>*-*/1T0402-7</v>
      </c>
      <c r="N140" s="159"/>
      <c r="O140" s="159"/>
      <c r="P140" s="68" t="s">
        <v>226</v>
      </c>
      <c r="Q140" s="162"/>
    </row>
    <row r="141" spans="2:17" ht="30" customHeight="1" x14ac:dyDescent="0.3">
      <c r="B141" s="87"/>
      <c r="C141" s="159"/>
      <c r="D141" s="89"/>
      <c r="E141" s="67" t="s">
        <v>30</v>
      </c>
      <c r="F141" s="77">
        <v>4</v>
      </c>
      <c r="G141" s="80">
        <v>2</v>
      </c>
      <c r="H141" s="69" t="str">
        <f t="shared" si="25"/>
        <v>1T0402</v>
      </c>
      <c r="I141" s="65">
        <f>I140+1</f>
        <v>8</v>
      </c>
      <c r="J141" s="65" t="str">
        <f t="shared" si="26"/>
        <v>8-1T0402/*-*</v>
      </c>
      <c r="K141" s="65" t="s">
        <v>33</v>
      </c>
      <c r="L141" s="65" t="s">
        <v>33</v>
      </c>
      <c r="M141" s="65" t="str">
        <f t="shared" si="27"/>
        <v>*-*/1T0402-8</v>
      </c>
      <c r="N141" s="159"/>
      <c r="O141" s="159"/>
      <c r="P141" s="68" t="s">
        <v>31</v>
      </c>
      <c r="Q141" s="162"/>
    </row>
    <row r="142" spans="2:17" ht="30" customHeight="1" x14ac:dyDescent="0.3">
      <c r="B142" s="87"/>
      <c r="C142" s="159"/>
      <c r="D142" s="89"/>
      <c r="E142" s="65" t="s">
        <v>323</v>
      </c>
      <c r="F142" s="77" t="s">
        <v>45</v>
      </c>
      <c r="G142" s="80" t="s">
        <v>45</v>
      </c>
      <c r="H142" s="69" t="s">
        <v>45</v>
      </c>
      <c r="I142" s="65" t="s">
        <v>45</v>
      </c>
      <c r="J142" s="65" t="s">
        <v>45</v>
      </c>
      <c r="K142" s="65" t="s">
        <v>45</v>
      </c>
      <c r="L142" s="65" t="s">
        <v>45</v>
      </c>
      <c r="M142" s="65" t="s">
        <v>45</v>
      </c>
      <c r="N142" s="159"/>
      <c r="O142" s="159"/>
      <c r="P142" s="68" t="s">
        <v>34</v>
      </c>
      <c r="Q142" s="162"/>
    </row>
    <row r="143" spans="2:17" ht="30" customHeight="1" x14ac:dyDescent="0.45">
      <c r="B143" s="87"/>
      <c r="C143" s="159"/>
      <c r="D143" s="89"/>
      <c r="E143" s="65" t="s">
        <v>324</v>
      </c>
      <c r="F143" s="77" t="s">
        <v>45</v>
      </c>
      <c r="G143" s="80" t="s">
        <v>45</v>
      </c>
      <c r="H143" s="69" t="s">
        <v>45</v>
      </c>
      <c r="I143" s="65" t="s">
        <v>45</v>
      </c>
      <c r="J143" s="65" t="s">
        <v>45</v>
      </c>
      <c r="K143" s="65" t="s">
        <v>45</v>
      </c>
      <c r="L143" s="65" t="s">
        <v>45</v>
      </c>
      <c r="M143" s="65" t="s">
        <v>45</v>
      </c>
      <c r="N143" s="159"/>
      <c r="O143" s="159"/>
      <c r="P143" s="75" t="s">
        <v>34</v>
      </c>
      <c r="Q143" s="163"/>
    </row>
    <row r="144" spans="2:17" ht="30" customHeight="1" x14ac:dyDescent="0.3">
      <c r="B144" s="87">
        <f t="shared" ref="B144" si="28">B132+1</f>
        <v>13</v>
      </c>
      <c r="C144" s="159" t="str">
        <f t="shared" ref="C144" si="29">N144&amp;" - PLC"</f>
        <v>VTP-09/HT - PLC</v>
      </c>
      <c r="D144" s="89" t="s">
        <v>201</v>
      </c>
      <c r="E144" s="67" t="s">
        <v>13</v>
      </c>
      <c r="F144" s="77">
        <v>1</v>
      </c>
      <c r="G144" s="80">
        <v>6</v>
      </c>
      <c r="H144" s="69" t="str">
        <f t="shared" si="25"/>
        <v>1T0106</v>
      </c>
      <c r="I144" s="65">
        <v>13</v>
      </c>
      <c r="J144" s="65" t="str">
        <f t="shared" si="26"/>
        <v>13-1T0106/*-*</v>
      </c>
      <c r="K144" s="65" t="s">
        <v>33</v>
      </c>
      <c r="L144" s="65" t="s">
        <v>33</v>
      </c>
      <c r="M144" s="65" t="str">
        <f t="shared" si="27"/>
        <v>*-*/1T0106-13</v>
      </c>
      <c r="N144" s="159" t="s">
        <v>232</v>
      </c>
      <c r="O144" s="159" t="s">
        <v>212</v>
      </c>
      <c r="P144" s="68" t="s">
        <v>41</v>
      </c>
      <c r="Q144" s="89" t="str" cm="1">
        <f t="array" ref="Q144">UPPER(
   "In PLC side, " &amp;
   _xlfn.TEXTJOIN(", ", TRUE,
      H144:INDEX(H144:H155, MATCH("COMMON",P144:P155,0)-2) &amp;
      ": " &amp;
      (I144:INDEX(I144:I155, MATCH("COMMON",P144:P155,0)-2)+1)
   ) &amp;
   " &amp; " &amp;
   INDEX(H144:H155, MATCH("COMMON",P144:P155,0)-1) &amp; ": " &amp;
   INDEX(I144:I155, MATCH("COMMON",P144:P155,0)-1)+1 &amp;
   " are already looped"
)</f>
        <v>IN PLC SIDE, 1T0106: 14, 1T0106: 16, 1T0106: 18, 1T0106: 20, 1T0106: 22 &amp; 1T0106: 24 ARE ALREADY LOOPED</v>
      </c>
    </row>
    <row r="145" spans="2:17" ht="30" customHeight="1" x14ac:dyDescent="0.3">
      <c r="B145" s="87"/>
      <c r="C145" s="159"/>
      <c r="D145" s="89"/>
      <c r="E145" s="67" t="s">
        <v>14</v>
      </c>
      <c r="F145" s="77">
        <v>1</v>
      </c>
      <c r="G145" s="80">
        <v>6</v>
      </c>
      <c r="H145" s="69" t="str">
        <f t="shared" si="25"/>
        <v>1T0106</v>
      </c>
      <c r="I145" s="65">
        <f>I144+2</f>
        <v>15</v>
      </c>
      <c r="J145" s="65" t="str">
        <f t="shared" si="26"/>
        <v>15-1T0106/*-*</v>
      </c>
      <c r="K145" s="65" t="s">
        <v>33</v>
      </c>
      <c r="L145" s="65" t="s">
        <v>33</v>
      </c>
      <c r="M145" s="65" t="str">
        <f t="shared" si="27"/>
        <v>*-*/1T0106-15</v>
      </c>
      <c r="N145" s="159"/>
      <c r="O145" s="159"/>
      <c r="P145" s="68" t="s">
        <v>42</v>
      </c>
      <c r="Q145" s="89"/>
    </row>
    <row r="146" spans="2:17" ht="30" customHeight="1" x14ac:dyDescent="0.3">
      <c r="B146" s="87"/>
      <c r="C146" s="159"/>
      <c r="D146" s="89"/>
      <c r="E146" s="67" t="s">
        <v>15</v>
      </c>
      <c r="F146" s="77">
        <v>1</v>
      </c>
      <c r="G146" s="80">
        <v>6</v>
      </c>
      <c r="H146" s="69" t="str">
        <f t="shared" si="25"/>
        <v>1T0106</v>
      </c>
      <c r="I146" s="65">
        <f>I145+2</f>
        <v>17</v>
      </c>
      <c r="J146" s="65" t="str">
        <f t="shared" si="26"/>
        <v>17-1T0106/*-*</v>
      </c>
      <c r="K146" s="65" t="s">
        <v>33</v>
      </c>
      <c r="L146" s="65" t="s">
        <v>33</v>
      </c>
      <c r="M146" s="65" t="str">
        <f t="shared" si="27"/>
        <v>*-*/1T0106-17</v>
      </c>
      <c r="N146" s="159"/>
      <c r="O146" s="159"/>
      <c r="P146" s="68" t="s">
        <v>262</v>
      </c>
      <c r="Q146" s="89"/>
    </row>
    <row r="147" spans="2:17" ht="30" customHeight="1" x14ac:dyDescent="0.3">
      <c r="B147" s="87"/>
      <c r="C147" s="159"/>
      <c r="D147" s="89"/>
      <c r="E147" s="67" t="s">
        <v>16</v>
      </c>
      <c r="F147" s="77">
        <v>1</v>
      </c>
      <c r="G147" s="80">
        <v>6</v>
      </c>
      <c r="H147" s="69" t="str">
        <f t="shared" si="25"/>
        <v>1T0106</v>
      </c>
      <c r="I147" s="65">
        <f>I146+2</f>
        <v>19</v>
      </c>
      <c r="J147" s="65" t="str">
        <f t="shared" si="26"/>
        <v>19-1T0106/*-*</v>
      </c>
      <c r="K147" s="65" t="s">
        <v>33</v>
      </c>
      <c r="L147" s="65" t="s">
        <v>33</v>
      </c>
      <c r="M147" s="65" t="str">
        <f t="shared" si="27"/>
        <v>*-*/1T0106-19</v>
      </c>
      <c r="N147" s="159"/>
      <c r="O147" s="159"/>
      <c r="P147" s="68" t="s">
        <v>263</v>
      </c>
      <c r="Q147" s="89"/>
    </row>
    <row r="148" spans="2:17" ht="30" customHeight="1" x14ac:dyDescent="0.3">
      <c r="B148" s="87"/>
      <c r="C148" s="159"/>
      <c r="D148" s="89"/>
      <c r="E148" s="67" t="s">
        <v>17</v>
      </c>
      <c r="F148" s="77">
        <v>1</v>
      </c>
      <c r="G148" s="80">
        <v>6</v>
      </c>
      <c r="H148" s="69" t="str">
        <f t="shared" si="25"/>
        <v>1T0106</v>
      </c>
      <c r="I148" s="65">
        <f>I147+2</f>
        <v>21</v>
      </c>
      <c r="J148" s="65" t="str">
        <f t="shared" si="26"/>
        <v>21-1T0106/*-*</v>
      </c>
      <c r="K148" s="65" t="s">
        <v>33</v>
      </c>
      <c r="L148" s="65" t="s">
        <v>33</v>
      </c>
      <c r="M148" s="65" t="str">
        <f t="shared" si="27"/>
        <v>*-*/1T0106-21</v>
      </c>
      <c r="N148" s="159"/>
      <c r="O148" s="159"/>
      <c r="P148" s="68" t="s">
        <v>264</v>
      </c>
      <c r="Q148" s="89"/>
    </row>
    <row r="149" spans="2:17" ht="30" customHeight="1" x14ac:dyDescent="0.3">
      <c r="B149" s="87"/>
      <c r="C149" s="159"/>
      <c r="D149" s="89"/>
      <c r="E149" s="67" t="s">
        <v>18</v>
      </c>
      <c r="F149" s="77">
        <v>1</v>
      </c>
      <c r="G149" s="80">
        <v>6</v>
      </c>
      <c r="H149" s="69" t="str">
        <f t="shared" si="25"/>
        <v>1T0106</v>
      </c>
      <c r="I149" s="65">
        <f>I148+2</f>
        <v>23</v>
      </c>
      <c r="J149" s="65" t="str">
        <f t="shared" si="26"/>
        <v>23-1T0106/*-*</v>
      </c>
      <c r="K149" s="65" t="s">
        <v>33</v>
      </c>
      <c r="L149" s="65" t="s">
        <v>33</v>
      </c>
      <c r="M149" s="65" t="str">
        <f t="shared" si="27"/>
        <v>*-*/1T0106-23</v>
      </c>
      <c r="N149" s="159"/>
      <c r="O149" s="159"/>
      <c r="P149" s="68" t="s">
        <v>265</v>
      </c>
      <c r="Q149" s="89"/>
    </row>
    <row r="150" spans="2:17" ht="30" customHeight="1" x14ac:dyDescent="0.45">
      <c r="B150" s="87"/>
      <c r="C150" s="159"/>
      <c r="D150" s="89"/>
      <c r="E150" s="67" t="s">
        <v>19</v>
      </c>
      <c r="F150" s="77">
        <v>1</v>
      </c>
      <c r="G150" s="80">
        <v>6</v>
      </c>
      <c r="H150" s="69" t="str">
        <f t="shared" si="25"/>
        <v>1T0106</v>
      </c>
      <c r="I150" s="65">
        <f>I149+1</f>
        <v>24</v>
      </c>
      <c r="J150" s="65" t="str">
        <f t="shared" si="26"/>
        <v>24-1T0106/*-*</v>
      </c>
      <c r="K150" s="65" t="s">
        <v>33</v>
      </c>
      <c r="L150" s="65" t="s">
        <v>33</v>
      </c>
      <c r="M150" s="65" t="str">
        <f t="shared" si="27"/>
        <v>*-*/1T0106-24</v>
      </c>
      <c r="N150" s="159"/>
      <c r="O150" s="159"/>
      <c r="P150" s="75" t="s">
        <v>31</v>
      </c>
      <c r="Q150" s="89"/>
    </row>
    <row r="151" spans="2:17" ht="30" customHeight="1" x14ac:dyDescent="0.3">
      <c r="B151" s="87"/>
      <c r="C151" s="159"/>
      <c r="D151" s="89"/>
      <c r="E151" s="67" t="s">
        <v>20</v>
      </c>
      <c r="F151" s="77">
        <v>4</v>
      </c>
      <c r="G151" s="80">
        <v>2</v>
      </c>
      <c r="H151" s="69" t="str">
        <f t="shared" si="25"/>
        <v>1T0402</v>
      </c>
      <c r="I151" s="65">
        <v>13</v>
      </c>
      <c r="J151" s="65" t="str">
        <f t="shared" si="26"/>
        <v>13-1T0402/*-*</v>
      </c>
      <c r="K151" s="65" t="s">
        <v>33</v>
      </c>
      <c r="L151" s="65" t="s">
        <v>33</v>
      </c>
      <c r="M151" s="65" t="str">
        <f t="shared" si="27"/>
        <v>*-*/1T0402-13</v>
      </c>
      <c r="N151" s="159"/>
      <c r="O151" s="159"/>
      <c r="P151" s="68" t="s">
        <v>225</v>
      </c>
      <c r="Q151" s="161" t="str" cm="1">
        <f t="array" ref="Q151">UPPER(
   "In PLC side, " &amp;
   _xlfn.TEXTJOIN(", ", TRUE,
      H151:INDEX(H151:H160, MATCH("COMMON",P151:P160,0)-2) &amp;
      ": " &amp;
      (I151:INDEX(I151:I160, MATCH("COMMON",P151:P160,0)-2)+1)
   ) &amp;
   " &amp; " &amp;
   INDEX(H151:H160, MATCH("COMMON",P151:P160,0)-1) &amp; ": " &amp;
   INDEX(I151:I160, MATCH("COMMON",P151:P160,0)-1)+1 &amp;
   " are already looped"
)</f>
        <v>IN PLC SIDE, 1T0402: 14 &amp; 1T0402: 16 ARE ALREADY LOOPED</v>
      </c>
    </row>
    <row r="152" spans="2:17" ht="30" customHeight="1" x14ac:dyDescent="0.3">
      <c r="B152" s="87"/>
      <c r="C152" s="159"/>
      <c r="D152" s="89"/>
      <c r="E152" s="67" t="s">
        <v>21</v>
      </c>
      <c r="F152" s="77">
        <v>4</v>
      </c>
      <c r="G152" s="80">
        <v>2</v>
      </c>
      <c r="H152" s="69" t="str">
        <f t="shared" si="25"/>
        <v>1T0402</v>
      </c>
      <c r="I152" s="65">
        <f>I151+2</f>
        <v>15</v>
      </c>
      <c r="J152" s="65" t="str">
        <f t="shared" si="26"/>
        <v>15-1T0402/*-*</v>
      </c>
      <c r="K152" s="65" t="s">
        <v>33</v>
      </c>
      <c r="L152" s="65" t="s">
        <v>33</v>
      </c>
      <c r="M152" s="65" t="str">
        <f t="shared" si="27"/>
        <v>*-*/1T0402-15</v>
      </c>
      <c r="N152" s="159"/>
      <c r="O152" s="159"/>
      <c r="P152" s="68" t="s">
        <v>226</v>
      </c>
      <c r="Q152" s="162"/>
    </row>
    <row r="153" spans="2:17" ht="30" customHeight="1" x14ac:dyDescent="0.3">
      <c r="B153" s="87"/>
      <c r="C153" s="159"/>
      <c r="D153" s="89"/>
      <c r="E153" s="67" t="s">
        <v>30</v>
      </c>
      <c r="F153" s="77">
        <v>4</v>
      </c>
      <c r="G153" s="80">
        <v>2</v>
      </c>
      <c r="H153" s="69" t="str">
        <f t="shared" si="25"/>
        <v>1T0402</v>
      </c>
      <c r="I153" s="65">
        <f>I152+1</f>
        <v>16</v>
      </c>
      <c r="J153" s="65" t="str">
        <f t="shared" si="26"/>
        <v>16-1T0402/*-*</v>
      </c>
      <c r="K153" s="65" t="s">
        <v>33</v>
      </c>
      <c r="L153" s="65" t="s">
        <v>33</v>
      </c>
      <c r="M153" s="65" t="str">
        <f t="shared" si="27"/>
        <v>*-*/1T0402-16</v>
      </c>
      <c r="N153" s="159"/>
      <c r="O153" s="159"/>
      <c r="P153" s="68" t="s">
        <v>31</v>
      </c>
      <c r="Q153" s="162"/>
    </row>
    <row r="154" spans="2:17" ht="30" customHeight="1" x14ac:dyDescent="0.3">
      <c r="B154" s="87"/>
      <c r="C154" s="159"/>
      <c r="D154" s="89"/>
      <c r="E154" s="65" t="s">
        <v>323</v>
      </c>
      <c r="F154" s="77" t="s">
        <v>45</v>
      </c>
      <c r="G154" s="80" t="s">
        <v>45</v>
      </c>
      <c r="H154" s="69" t="s">
        <v>45</v>
      </c>
      <c r="I154" s="65" t="s">
        <v>45</v>
      </c>
      <c r="J154" s="65" t="s">
        <v>45</v>
      </c>
      <c r="K154" s="65" t="s">
        <v>45</v>
      </c>
      <c r="L154" s="65" t="s">
        <v>45</v>
      </c>
      <c r="M154" s="65" t="s">
        <v>45</v>
      </c>
      <c r="N154" s="159"/>
      <c r="O154" s="159"/>
      <c r="P154" s="68" t="s">
        <v>34</v>
      </c>
      <c r="Q154" s="162"/>
    </row>
    <row r="155" spans="2:17" ht="30" customHeight="1" x14ac:dyDescent="0.45">
      <c r="B155" s="87"/>
      <c r="C155" s="159"/>
      <c r="D155" s="89"/>
      <c r="E155" s="65" t="s">
        <v>324</v>
      </c>
      <c r="F155" s="77" t="s">
        <v>45</v>
      </c>
      <c r="G155" s="80" t="s">
        <v>45</v>
      </c>
      <c r="H155" s="69" t="s">
        <v>45</v>
      </c>
      <c r="I155" s="65" t="s">
        <v>45</v>
      </c>
      <c r="J155" s="65" t="s">
        <v>45</v>
      </c>
      <c r="K155" s="65" t="s">
        <v>45</v>
      </c>
      <c r="L155" s="65" t="s">
        <v>45</v>
      </c>
      <c r="M155" s="65" t="s">
        <v>45</v>
      </c>
      <c r="N155" s="159"/>
      <c r="O155" s="159"/>
      <c r="P155" s="75" t="s">
        <v>34</v>
      </c>
      <c r="Q155" s="163"/>
    </row>
    <row r="156" spans="2:17" ht="30" customHeight="1" x14ac:dyDescent="0.3">
      <c r="B156" s="87">
        <f>B144+1</f>
        <v>14</v>
      </c>
      <c r="C156" s="159" t="str">
        <f>N156&amp;" - PLC"</f>
        <v>66KV-HT-I/C-01 - PLC</v>
      </c>
      <c r="D156" s="89" t="s">
        <v>330</v>
      </c>
      <c r="E156" s="67" t="s">
        <v>13</v>
      </c>
      <c r="F156" s="77">
        <v>2</v>
      </c>
      <c r="G156" s="80">
        <v>6</v>
      </c>
      <c r="H156" s="69" t="str">
        <f t="shared" si="25"/>
        <v>1T0206</v>
      </c>
      <c r="I156" s="65">
        <v>13</v>
      </c>
      <c r="J156" s="65" t="str">
        <f t="shared" si="26"/>
        <v>13-1T0206/*-*</v>
      </c>
      <c r="K156" s="65" t="s">
        <v>33</v>
      </c>
      <c r="L156" s="65" t="s">
        <v>33</v>
      </c>
      <c r="M156" s="65" t="str">
        <f t="shared" si="27"/>
        <v>*-*/1T0206-13</v>
      </c>
      <c r="N156" s="159" t="s">
        <v>236</v>
      </c>
      <c r="O156" s="159" t="s">
        <v>237</v>
      </c>
      <c r="P156" s="68" t="s">
        <v>41</v>
      </c>
      <c r="Q156" s="161" t="str" cm="1">
        <f t="array" ref="Q156">UPPER(
   "In PLC side, " &amp;
   _xlfn.TEXTJOIN(", ", TRUE,
      H156:INDEX(H156:H167, MATCH("COMMON",P156:P167,0)-2) &amp;
      ": " &amp;
      (I156:INDEX(I156:I167, MATCH("COMMON",P156:P167,0)-2)+1)
   ) &amp;
   " &amp; " &amp;
   INDEX(H156:H167, MATCH("COMMON",P156:P167,0)-1) &amp; ": " &amp;
   INDEX(I156:I167, MATCH("COMMON",P156:P167,0)-1)+1 &amp;
   " are already looped"
)</f>
        <v>IN PLC SIDE, 1T0206: 14, 1T0206: 16, 1T0206: 18, 1T0206: 20, 1T0206: 22, 1T0206: 24 &amp; 1T0206: 26 ARE ALREADY LOOPED</v>
      </c>
    </row>
    <row r="157" spans="2:17" ht="30" customHeight="1" x14ac:dyDescent="0.3">
      <c r="B157" s="87"/>
      <c r="C157" s="159"/>
      <c r="D157" s="89"/>
      <c r="E157" s="67" t="s">
        <v>14</v>
      </c>
      <c r="F157" s="77">
        <v>2</v>
      </c>
      <c r="G157" s="80">
        <v>6</v>
      </c>
      <c r="H157" s="69" t="str">
        <f t="shared" si="25"/>
        <v>1T0206</v>
      </c>
      <c r="I157" s="65">
        <f t="shared" ref="I157:I162" si="30">I156+2</f>
        <v>15</v>
      </c>
      <c r="J157" s="65" t="str">
        <f t="shared" si="26"/>
        <v>15-1T0206/*-*</v>
      </c>
      <c r="K157" s="65" t="s">
        <v>33</v>
      </c>
      <c r="L157" s="65" t="s">
        <v>33</v>
      </c>
      <c r="M157" s="65" t="str">
        <f t="shared" si="27"/>
        <v>*-*/1T0206-15</v>
      </c>
      <c r="N157" s="159"/>
      <c r="O157" s="159"/>
      <c r="P157" s="68" t="s">
        <v>42</v>
      </c>
      <c r="Q157" s="162"/>
    </row>
    <row r="158" spans="2:17" ht="30" customHeight="1" x14ac:dyDescent="0.3">
      <c r="B158" s="87"/>
      <c r="C158" s="159"/>
      <c r="D158" s="89"/>
      <c r="E158" s="67" t="s">
        <v>15</v>
      </c>
      <c r="F158" s="77">
        <v>2</v>
      </c>
      <c r="G158" s="80">
        <v>6</v>
      </c>
      <c r="H158" s="69" t="str">
        <f t="shared" si="25"/>
        <v>1T0206</v>
      </c>
      <c r="I158" s="65">
        <f t="shared" si="30"/>
        <v>17</v>
      </c>
      <c r="J158" s="65" t="str">
        <f t="shared" si="26"/>
        <v>17-1T0206/*-*</v>
      </c>
      <c r="K158" s="65" t="s">
        <v>33</v>
      </c>
      <c r="L158" s="65" t="s">
        <v>33</v>
      </c>
      <c r="M158" s="65" t="str">
        <f t="shared" si="27"/>
        <v>*-*/1T0206-17</v>
      </c>
      <c r="N158" s="159"/>
      <c r="O158" s="159"/>
      <c r="P158" s="68" t="s">
        <v>262</v>
      </c>
      <c r="Q158" s="162"/>
    </row>
    <row r="159" spans="2:17" ht="30" customHeight="1" x14ac:dyDescent="0.3">
      <c r="B159" s="87"/>
      <c r="C159" s="159"/>
      <c r="D159" s="89"/>
      <c r="E159" s="67" t="s">
        <v>16</v>
      </c>
      <c r="F159" s="77">
        <v>2</v>
      </c>
      <c r="G159" s="80">
        <v>6</v>
      </c>
      <c r="H159" s="69" t="str">
        <f t="shared" si="25"/>
        <v>1T0206</v>
      </c>
      <c r="I159" s="65">
        <f t="shared" si="30"/>
        <v>19</v>
      </c>
      <c r="J159" s="65" t="str">
        <f t="shared" si="26"/>
        <v>19-1T0206/*-*</v>
      </c>
      <c r="K159" s="65" t="s">
        <v>33</v>
      </c>
      <c r="L159" s="65" t="s">
        <v>33</v>
      </c>
      <c r="M159" s="65" t="str">
        <f t="shared" si="27"/>
        <v>*-*/1T0206-19</v>
      </c>
      <c r="N159" s="159"/>
      <c r="O159" s="159"/>
      <c r="P159" s="68" t="s">
        <v>263</v>
      </c>
      <c r="Q159" s="162"/>
    </row>
    <row r="160" spans="2:17" ht="30" customHeight="1" x14ac:dyDescent="0.45">
      <c r="B160" s="87"/>
      <c r="C160" s="159"/>
      <c r="D160" s="89"/>
      <c r="E160" s="67" t="s">
        <v>17</v>
      </c>
      <c r="F160" s="77">
        <v>2</v>
      </c>
      <c r="G160" s="80">
        <v>6</v>
      </c>
      <c r="H160" s="69" t="str">
        <f t="shared" si="25"/>
        <v>1T0206</v>
      </c>
      <c r="I160" s="65">
        <f t="shared" si="30"/>
        <v>21</v>
      </c>
      <c r="J160" s="65" t="str">
        <f t="shared" si="26"/>
        <v>21-1T0206/*-*</v>
      </c>
      <c r="K160" s="65" t="s">
        <v>33</v>
      </c>
      <c r="L160" s="65" t="s">
        <v>33</v>
      </c>
      <c r="M160" s="65" t="str">
        <f t="shared" si="27"/>
        <v>*-*/1T0206-21</v>
      </c>
      <c r="N160" s="159"/>
      <c r="O160" s="159"/>
      <c r="P160" s="75" t="s">
        <v>238</v>
      </c>
      <c r="Q160" s="162"/>
    </row>
    <row r="161" spans="2:17" ht="30" customHeight="1" x14ac:dyDescent="0.45">
      <c r="B161" s="87"/>
      <c r="C161" s="159"/>
      <c r="D161" s="89"/>
      <c r="E161" s="67" t="s">
        <v>18</v>
      </c>
      <c r="F161" s="77">
        <v>2</v>
      </c>
      <c r="G161" s="80">
        <v>6</v>
      </c>
      <c r="H161" s="69" t="str">
        <f t="shared" si="25"/>
        <v>1T0206</v>
      </c>
      <c r="I161" s="65">
        <f t="shared" si="30"/>
        <v>23</v>
      </c>
      <c r="J161" s="65" t="str">
        <f t="shared" si="26"/>
        <v>23-1T0206/*-*</v>
      </c>
      <c r="K161" s="65" t="s">
        <v>33</v>
      </c>
      <c r="L161" s="65" t="s">
        <v>33</v>
      </c>
      <c r="M161" s="65" t="str">
        <f t="shared" si="27"/>
        <v>*-*/1T0206-23</v>
      </c>
      <c r="N161" s="159"/>
      <c r="O161" s="159"/>
      <c r="P161" s="75" t="s">
        <v>239</v>
      </c>
      <c r="Q161" s="162"/>
    </row>
    <row r="162" spans="2:17" ht="30" customHeight="1" x14ac:dyDescent="0.45">
      <c r="B162" s="87"/>
      <c r="C162" s="159"/>
      <c r="D162" s="89"/>
      <c r="E162" s="67" t="s">
        <v>19</v>
      </c>
      <c r="F162" s="77">
        <v>2</v>
      </c>
      <c r="G162" s="80">
        <v>6</v>
      </c>
      <c r="H162" s="69" t="str">
        <f t="shared" si="25"/>
        <v>1T0206</v>
      </c>
      <c r="I162" s="65">
        <f t="shared" si="30"/>
        <v>25</v>
      </c>
      <c r="J162" s="65" t="str">
        <f t="shared" si="26"/>
        <v>25-1T0206/*-*</v>
      </c>
      <c r="K162" s="65" t="s">
        <v>33</v>
      </c>
      <c r="L162" s="65" t="s">
        <v>33</v>
      </c>
      <c r="M162" s="65" t="str">
        <f t="shared" si="27"/>
        <v>*-*/1T0206-25</v>
      </c>
      <c r="N162" s="159"/>
      <c r="O162" s="159"/>
      <c r="P162" s="75" t="s">
        <v>240</v>
      </c>
      <c r="Q162" s="162"/>
    </row>
    <row r="163" spans="2:17" ht="30" customHeight="1" x14ac:dyDescent="0.45">
      <c r="B163" s="87"/>
      <c r="C163" s="159"/>
      <c r="D163" s="89"/>
      <c r="E163" s="67" t="s">
        <v>20</v>
      </c>
      <c r="F163" s="77">
        <v>2</v>
      </c>
      <c r="G163" s="80">
        <v>6</v>
      </c>
      <c r="H163" s="69" t="str">
        <f t="shared" si="25"/>
        <v>1T0206</v>
      </c>
      <c r="I163" s="65">
        <f>I162+1</f>
        <v>26</v>
      </c>
      <c r="J163" s="65" t="str">
        <f t="shared" si="26"/>
        <v>26-1T0206/*-*</v>
      </c>
      <c r="K163" s="65" t="s">
        <v>33</v>
      </c>
      <c r="L163" s="65" t="s">
        <v>33</v>
      </c>
      <c r="M163" s="65" t="str">
        <f t="shared" si="27"/>
        <v>*-*/1T0206-26</v>
      </c>
      <c r="N163" s="159"/>
      <c r="O163" s="159"/>
      <c r="P163" s="75" t="s">
        <v>31</v>
      </c>
      <c r="Q163" s="162"/>
    </row>
    <row r="164" spans="2:17" ht="30" customHeight="1" x14ac:dyDescent="0.45">
      <c r="B164" s="87"/>
      <c r="C164" s="159"/>
      <c r="D164" s="89"/>
      <c r="E164" s="67" t="s">
        <v>21</v>
      </c>
      <c r="F164" s="77">
        <v>4</v>
      </c>
      <c r="G164" s="80">
        <v>6</v>
      </c>
      <c r="H164" s="69" t="str">
        <f t="shared" si="25"/>
        <v>1T0406</v>
      </c>
      <c r="I164" s="65">
        <v>1</v>
      </c>
      <c r="J164" s="65" t="str">
        <f t="shared" si="26"/>
        <v>1-1T0406/*-*</v>
      </c>
      <c r="K164" s="65" t="s">
        <v>33</v>
      </c>
      <c r="L164" s="65" t="s">
        <v>33</v>
      </c>
      <c r="M164" s="65" t="str">
        <f t="shared" si="27"/>
        <v>*-*/1T0406-1</v>
      </c>
      <c r="N164" s="159"/>
      <c r="O164" s="159"/>
      <c r="P164" s="75" t="s">
        <v>43</v>
      </c>
      <c r="Q164" s="161" t="str" cm="1">
        <f t="array" ref="Q164">UPPER(
   "In PLC side, " &amp;
   _xlfn.TEXTJOIN(", ", TRUE,
      H164:INDEX(H164:H173, MATCH("COMMON",P164:P173,0)-2) &amp;
      ": " &amp;
      (I164:INDEX(I164:I173, MATCH("COMMON",P164:P173,0)-2)+1)
   ) &amp;
   " &amp; " &amp;
   INDEX(H164:H173, MATCH("COMMON",P164:P173,0)-1) &amp; ": " &amp;
   INDEX(I164:I173, MATCH("COMMON",P164:P173,0)-1)+1 &amp;
   " are already looped"
)</f>
        <v>IN PLC SIDE, 1T0406: 2 &amp; 1T0406: 4 ARE ALREADY LOOPED</v>
      </c>
    </row>
    <row r="165" spans="2:17" ht="30" customHeight="1" x14ac:dyDescent="0.45">
      <c r="B165" s="87"/>
      <c r="C165" s="159"/>
      <c r="D165" s="89"/>
      <c r="E165" s="67" t="s">
        <v>30</v>
      </c>
      <c r="F165" s="77">
        <v>4</v>
      </c>
      <c r="G165" s="80">
        <v>6</v>
      </c>
      <c r="H165" s="69" t="str">
        <f t="shared" si="25"/>
        <v>1T0406</v>
      </c>
      <c r="I165" s="65">
        <f>I164+2</f>
        <v>3</v>
      </c>
      <c r="J165" s="65" t="str">
        <f t="shared" si="26"/>
        <v>3-1T0406/*-*</v>
      </c>
      <c r="K165" s="65" t="s">
        <v>33</v>
      </c>
      <c r="L165" s="65" t="s">
        <v>33</v>
      </c>
      <c r="M165" s="65" t="str">
        <f t="shared" si="27"/>
        <v>*-*/1T0406-3</v>
      </c>
      <c r="N165" s="159"/>
      <c r="O165" s="159"/>
      <c r="P165" s="75" t="s">
        <v>44</v>
      </c>
      <c r="Q165" s="162"/>
    </row>
    <row r="166" spans="2:17" ht="30" customHeight="1" x14ac:dyDescent="0.45">
      <c r="B166" s="87"/>
      <c r="C166" s="159"/>
      <c r="D166" s="89"/>
      <c r="E166" s="65" t="s">
        <v>323</v>
      </c>
      <c r="F166" s="77">
        <v>4</v>
      </c>
      <c r="G166" s="80">
        <v>6</v>
      </c>
      <c r="H166" s="69" t="str">
        <f t="shared" si="25"/>
        <v>1T0406</v>
      </c>
      <c r="I166" s="65">
        <f>I165+1</f>
        <v>4</v>
      </c>
      <c r="J166" s="65" t="str">
        <f t="shared" si="26"/>
        <v>4-1T0406/*-*</v>
      </c>
      <c r="K166" s="65" t="s">
        <v>33</v>
      </c>
      <c r="L166" s="65" t="s">
        <v>33</v>
      </c>
      <c r="M166" s="65" t="str">
        <f t="shared" si="27"/>
        <v>*-*/1T0406-4</v>
      </c>
      <c r="N166" s="159"/>
      <c r="O166" s="159"/>
      <c r="P166" s="75" t="s">
        <v>31</v>
      </c>
      <c r="Q166" s="162"/>
    </row>
    <row r="167" spans="2:17" ht="30" customHeight="1" x14ac:dyDescent="0.45">
      <c r="B167" s="87"/>
      <c r="C167" s="159"/>
      <c r="D167" s="89"/>
      <c r="E167" s="65" t="s">
        <v>324</v>
      </c>
      <c r="F167" s="77" t="s">
        <v>45</v>
      </c>
      <c r="G167" s="80" t="s">
        <v>45</v>
      </c>
      <c r="H167" s="69" t="s">
        <v>45</v>
      </c>
      <c r="I167" s="65" t="s">
        <v>45</v>
      </c>
      <c r="J167" s="65" t="s">
        <v>45</v>
      </c>
      <c r="K167" s="65" t="s">
        <v>45</v>
      </c>
      <c r="L167" s="65" t="s">
        <v>45</v>
      </c>
      <c r="M167" s="65" t="s">
        <v>45</v>
      </c>
      <c r="N167" s="159"/>
      <c r="O167" s="159"/>
      <c r="P167" s="75" t="s">
        <v>34</v>
      </c>
      <c r="Q167" s="162"/>
    </row>
    <row r="168" spans="2:17" ht="30" customHeight="1" x14ac:dyDescent="0.45">
      <c r="B168" s="87"/>
      <c r="C168" s="159"/>
      <c r="D168" s="89"/>
      <c r="E168" s="65" t="s">
        <v>325</v>
      </c>
      <c r="F168" s="77" t="s">
        <v>45</v>
      </c>
      <c r="G168" s="80" t="s">
        <v>45</v>
      </c>
      <c r="H168" s="69" t="s">
        <v>45</v>
      </c>
      <c r="I168" s="65" t="s">
        <v>45</v>
      </c>
      <c r="J168" s="65" t="s">
        <v>45</v>
      </c>
      <c r="K168" s="65" t="s">
        <v>45</v>
      </c>
      <c r="L168" s="65" t="s">
        <v>45</v>
      </c>
      <c r="M168" s="65" t="s">
        <v>45</v>
      </c>
      <c r="N168" s="159"/>
      <c r="O168" s="159"/>
      <c r="P168" s="75" t="s">
        <v>34</v>
      </c>
      <c r="Q168" s="162"/>
    </row>
    <row r="169" spans="2:17" ht="30" customHeight="1" x14ac:dyDescent="0.45">
      <c r="B169" s="87"/>
      <c r="C169" s="159"/>
      <c r="D169" s="89"/>
      <c r="E169" s="65" t="s">
        <v>326</v>
      </c>
      <c r="F169" s="77" t="s">
        <v>45</v>
      </c>
      <c r="G169" s="80" t="s">
        <v>45</v>
      </c>
      <c r="H169" s="69" t="s">
        <v>45</v>
      </c>
      <c r="I169" s="65" t="s">
        <v>45</v>
      </c>
      <c r="J169" s="65" t="s">
        <v>45</v>
      </c>
      <c r="K169" s="65" t="s">
        <v>45</v>
      </c>
      <c r="L169" s="65" t="s">
        <v>45</v>
      </c>
      <c r="M169" s="65" t="s">
        <v>45</v>
      </c>
      <c r="N169" s="159"/>
      <c r="O169" s="159"/>
      <c r="P169" s="75" t="s">
        <v>34</v>
      </c>
      <c r="Q169" s="162"/>
    </row>
    <row r="170" spans="2:17" ht="30" customHeight="1" x14ac:dyDescent="0.45">
      <c r="B170" s="87"/>
      <c r="C170" s="159"/>
      <c r="D170" s="89"/>
      <c r="E170" s="65" t="s">
        <v>327</v>
      </c>
      <c r="F170" s="77" t="s">
        <v>45</v>
      </c>
      <c r="G170" s="80" t="s">
        <v>45</v>
      </c>
      <c r="H170" s="69" t="s">
        <v>45</v>
      </c>
      <c r="I170" s="65" t="s">
        <v>45</v>
      </c>
      <c r="J170" s="65" t="s">
        <v>45</v>
      </c>
      <c r="K170" s="65" t="s">
        <v>45</v>
      </c>
      <c r="L170" s="65" t="s">
        <v>45</v>
      </c>
      <c r="M170" s="65" t="s">
        <v>45</v>
      </c>
      <c r="N170" s="159"/>
      <c r="O170" s="159"/>
      <c r="P170" s="75" t="s">
        <v>34</v>
      </c>
      <c r="Q170" s="163"/>
    </row>
    <row r="171" spans="2:17" ht="30" customHeight="1" x14ac:dyDescent="0.3">
      <c r="B171" s="87">
        <f>B156+1</f>
        <v>15</v>
      </c>
      <c r="C171" s="159" t="str">
        <f t="shared" ref="C171" si="31">N171&amp;" - PLC"</f>
        <v>66KV-HT-I/C-02 - PLC</v>
      </c>
      <c r="D171" s="89" t="s">
        <v>330</v>
      </c>
      <c r="E171" s="67" t="s">
        <v>13</v>
      </c>
      <c r="F171" s="77">
        <v>2</v>
      </c>
      <c r="G171" s="80">
        <v>7</v>
      </c>
      <c r="H171" s="69" t="str">
        <f t="shared" si="25"/>
        <v>1T0207</v>
      </c>
      <c r="I171" s="65">
        <v>1</v>
      </c>
      <c r="J171" s="65" t="str">
        <f t="shared" si="26"/>
        <v>1-1T0207/*-*</v>
      </c>
      <c r="K171" s="65" t="s">
        <v>33</v>
      </c>
      <c r="L171" s="65" t="s">
        <v>33</v>
      </c>
      <c r="M171" s="65" t="str">
        <f t="shared" si="27"/>
        <v>*-*/1T0207-1</v>
      </c>
      <c r="N171" s="159" t="s">
        <v>241</v>
      </c>
      <c r="O171" s="159" t="s">
        <v>258</v>
      </c>
      <c r="P171" s="68" t="s">
        <v>41</v>
      </c>
      <c r="Q171" s="161" t="str" cm="1">
        <f t="array" ref="Q171">UPPER(
   "In PLC side, " &amp;
   _xlfn.TEXTJOIN(", ", TRUE,
      H171:INDEX(H171:H182, MATCH("COMMON",P171:P182,0)-2) &amp;
      ": " &amp;
      (I171:INDEX(I171:I182, MATCH("COMMON",P171:P182,0)-2)+1)
   ) &amp;
   " &amp; " &amp;
   INDEX(H171:H182, MATCH("COMMON",P171:P182,0)-1) &amp; ": " &amp;
   INDEX(I171:I182, MATCH("COMMON",P171:P182,0)-1)+1 &amp;
   " are already looped"
)</f>
        <v>IN PLC SIDE, 1T0207: 2, 1T0207: 4, 1T0207: 6, 1T0207: 8, 1T0207: 10, 1T0207: 12 &amp; 1T0207: 14 ARE ALREADY LOOPED</v>
      </c>
    </row>
    <row r="172" spans="2:17" ht="30" customHeight="1" x14ac:dyDescent="0.3">
      <c r="B172" s="87"/>
      <c r="C172" s="159"/>
      <c r="D172" s="89"/>
      <c r="E172" s="67" t="s">
        <v>14</v>
      </c>
      <c r="F172" s="77">
        <v>2</v>
      </c>
      <c r="G172" s="80">
        <v>7</v>
      </c>
      <c r="H172" s="69" t="str">
        <f t="shared" si="25"/>
        <v>1T0207</v>
      </c>
      <c r="I172" s="65">
        <f t="shared" ref="I172:I177" si="32">I171+2</f>
        <v>3</v>
      </c>
      <c r="J172" s="65" t="str">
        <f t="shared" si="26"/>
        <v>3-1T0207/*-*</v>
      </c>
      <c r="K172" s="65" t="s">
        <v>33</v>
      </c>
      <c r="L172" s="65" t="s">
        <v>33</v>
      </c>
      <c r="M172" s="65" t="str">
        <f t="shared" si="27"/>
        <v>*-*/1T0207-3</v>
      </c>
      <c r="N172" s="159"/>
      <c r="O172" s="159"/>
      <c r="P172" s="68" t="s">
        <v>42</v>
      </c>
      <c r="Q172" s="162"/>
    </row>
    <row r="173" spans="2:17" ht="30" customHeight="1" x14ac:dyDescent="0.3">
      <c r="B173" s="87"/>
      <c r="C173" s="159"/>
      <c r="D173" s="89"/>
      <c r="E173" s="67" t="s">
        <v>15</v>
      </c>
      <c r="F173" s="77">
        <v>2</v>
      </c>
      <c r="G173" s="80">
        <v>7</v>
      </c>
      <c r="H173" s="69" t="str">
        <f t="shared" si="25"/>
        <v>1T0207</v>
      </c>
      <c r="I173" s="65">
        <f t="shared" si="32"/>
        <v>5</v>
      </c>
      <c r="J173" s="65" t="str">
        <f t="shared" si="26"/>
        <v>5-1T0207/*-*</v>
      </c>
      <c r="K173" s="65" t="s">
        <v>33</v>
      </c>
      <c r="L173" s="65" t="s">
        <v>33</v>
      </c>
      <c r="M173" s="65" t="str">
        <f t="shared" si="27"/>
        <v>*-*/1T0207-5</v>
      </c>
      <c r="N173" s="159"/>
      <c r="O173" s="159"/>
      <c r="P173" s="68" t="s">
        <v>262</v>
      </c>
      <c r="Q173" s="162"/>
    </row>
    <row r="174" spans="2:17" ht="30" customHeight="1" x14ac:dyDescent="0.3">
      <c r="B174" s="87"/>
      <c r="C174" s="159"/>
      <c r="D174" s="89"/>
      <c r="E174" s="67" t="s">
        <v>16</v>
      </c>
      <c r="F174" s="77">
        <v>2</v>
      </c>
      <c r="G174" s="80">
        <v>7</v>
      </c>
      <c r="H174" s="69" t="str">
        <f t="shared" si="25"/>
        <v>1T0207</v>
      </c>
      <c r="I174" s="65">
        <f t="shared" si="32"/>
        <v>7</v>
      </c>
      <c r="J174" s="65" t="str">
        <f t="shared" si="26"/>
        <v>7-1T0207/*-*</v>
      </c>
      <c r="K174" s="65" t="s">
        <v>33</v>
      </c>
      <c r="L174" s="65" t="s">
        <v>33</v>
      </c>
      <c r="M174" s="65" t="str">
        <f t="shared" si="27"/>
        <v>*-*/1T0207-7</v>
      </c>
      <c r="N174" s="159"/>
      <c r="O174" s="159"/>
      <c r="P174" s="68" t="s">
        <v>263</v>
      </c>
      <c r="Q174" s="162"/>
    </row>
    <row r="175" spans="2:17" ht="30" customHeight="1" x14ac:dyDescent="0.45">
      <c r="B175" s="87"/>
      <c r="C175" s="159"/>
      <c r="D175" s="89"/>
      <c r="E175" s="67" t="s">
        <v>17</v>
      </c>
      <c r="F175" s="77">
        <v>2</v>
      </c>
      <c r="G175" s="80">
        <v>7</v>
      </c>
      <c r="H175" s="69" t="str">
        <f t="shared" si="25"/>
        <v>1T0207</v>
      </c>
      <c r="I175" s="65">
        <f t="shared" si="32"/>
        <v>9</v>
      </c>
      <c r="J175" s="65" t="str">
        <f t="shared" si="26"/>
        <v>9-1T0207/*-*</v>
      </c>
      <c r="K175" s="65" t="s">
        <v>33</v>
      </c>
      <c r="L175" s="65" t="s">
        <v>33</v>
      </c>
      <c r="M175" s="65" t="str">
        <f t="shared" si="27"/>
        <v>*-*/1T0207-9</v>
      </c>
      <c r="N175" s="159"/>
      <c r="O175" s="159"/>
      <c r="P175" s="75" t="s">
        <v>238</v>
      </c>
      <c r="Q175" s="162"/>
    </row>
    <row r="176" spans="2:17" ht="30" customHeight="1" x14ac:dyDescent="0.45">
      <c r="B176" s="87"/>
      <c r="C176" s="159"/>
      <c r="D176" s="89"/>
      <c r="E176" s="67" t="s">
        <v>18</v>
      </c>
      <c r="F176" s="77">
        <v>2</v>
      </c>
      <c r="G176" s="80">
        <v>7</v>
      </c>
      <c r="H176" s="69" t="str">
        <f t="shared" si="25"/>
        <v>1T0207</v>
      </c>
      <c r="I176" s="65">
        <f t="shared" si="32"/>
        <v>11</v>
      </c>
      <c r="J176" s="65" t="str">
        <f t="shared" si="26"/>
        <v>11-1T0207/*-*</v>
      </c>
      <c r="K176" s="65" t="s">
        <v>33</v>
      </c>
      <c r="L176" s="65" t="s">
        <v>33</v>
      </c>
      <c r="M176" s="65" t="str">
        <f t="shared" si="27"/>
        <v>*-*/1T0207-11</v>
      </c>
      <c r="N176" s="159"/>
      <c r="O176" s="159"/>
      <c r="P176" s="75" t="s">
        <v>239</v>
      </c>
      <c r="Q176" s="162"/>
    </row>
    <row r="177" spans="2:17" ht="30" customHeight="1" x14ac:dyDescent="0.45">
      <c r="B177" s="87"/>
      <c r="C177" s="159"/>
      <c r="D177" s="89"/>
      <c r="E177" s="67" t="s">
        <v>19</v>
      </c>
      <c r="F177" s="77">
        <v>2</v>
      </c>
      <c r="G177" s="80">
        <v>7</v>
      </c>
      <c r="H177" s="69" t="str">
        <f t="shared" si="25"/>
        <v>1T0207</v>
      </c>
      <c r="I177" s="65">
        <f t="shared" si="32"/>
        <v>13</v>
      </c>
      <c r="J177" s="65" t="str">
        <f t="shared" si="26"/>
        <v>13-1T0207/*-*</v>
      </c>
      <c r="K177" s="65" t="s">
        <v>33</v>
      </c>
      <c r="L177" s="65" t="s">
        <v>33</v>
      </c>
      <c r="M177" s="65" t="str">
        <f t="shared" si="27"/>
        <v>*-*/1T0207-13</v>
      </c>
      <c r="N177" s="159"/>
      <c r="O177" s="159"/>
      <c r="P177" s="75" t="s">
        <v>240</v>
      </c>
      <c r="Q177" s="162"/>
    </row>
    <row r="178" spans="2:17" ht="30" customHeight="1" x14ac:dyDescent="0.45">
      <c r="B178" s="87"/>
      <c r="C178" s="159"/>
      <c r="D178" s="89"/>
      <c r="E178" s="67" t="s">
        <v>20</v>
      </c>
      <c r="F178" s="77">
        <v>2</v>
      </c>
      <c r="G178" s="80">
        <v>7</v>
      </c>
      <c r="H178" s="69" t="str">
        <f t="shared" si="25"/>
        <v>1T0207</v>
      </c>
      <c r="I178" s="65">
        <f>I177+1</f>
        <v>14</v>
      </c>
      <c r="J178" s="65" t="str">
        <f t="shared" si="26"/>
        <v>14-1T0207/*-*</v>
      </c>
      <c r="K178" s="65" t="s">
        <v>33</v>
      </c>
      <c r="L178" s="65" t="s">
        <v>33</v>
      </c>
      <c r="M178" s="65" t="str">
        <f t="shared" si="27"/>
        <v>*-*/1T0207-14</v>
      </c>
      <c r="N178" s="159"/>
      <c r="O178" s="159"/>
      <c r="P178" s="75" t="s">
        <v>31</v>
      </c>
      <c r="Q178" s="162"/>
    </row>
    <row r="179" spans="2:17" ht="30" customHeight="1" x14ac:dyDescent="0.45">
      <c r="B179" s="87"/>
      <c r="C179" s="159"/>
      <c r="D179" s="89"/>
      <c r="E179" s="67" t="s">
        <v>21</v>
      </c>
      <c r="F179" s="77">
        <v>4</v>
      </c>
      <c r="G179" s="80">
        <v>6</v>
      </c>
      <c r="H179" s="69" t="str">
        <f t="shared" si="25"/>
        <v>1T0406</v>
      </c>
      <c r="I179" s="65">
        <v>5</v>
      </c>
      <c r="J179" s="65" t="str">
        <f t="shared" si="26"/>
        <v>5-1T0406/*-*</v>
      </c>
      <c r="K179" s="65" t="s">
        <v>33</v>
      </c>
      <c r="L179" s="65" t="s">
        <v>33</v>
      </c>
      <c r="M179" s="65" t="str">
        <f t="shared" si="27"/>
        <v>*-*/1T0406-5</v>
      </c>
      <c r="N179" s="159"/>
      <c r="O179" s="159"/>
      <c r="P179" s="75" t="s">
        <v>43</v>
      </c>
      <c r="Q179" s="161" t="str" cm="1">
        <f t="array" ref="Q179">UPPER(
   "In PLC side, " &amp;
   _xlfn.TEXTJOIN(", ", TRUE,
      H179:INDEX(H179:H188, MATCH("COMMON",P179:P188,0)-2) &amp;
      ": " &amp;
      (I179:INDEX(I179:I188, MATCH("COMMON",P179:P188,0)-2)+1)
   ) &amp;
   " &amp; " &amp;
   INDEX(H179:H188, MATCH("COMMON",P179:P188,0)-1) &amp; ": " &amp;
   INDEX(I179:I188, MATCH("COMMON",P179:P188,0)-1)+1 &amp;
   " are already looped"
)</f>
        <v>IN PLC SIDE, 1T0406: 6 &amp; 1T0406: 8 ARE ALREADY LOOPED</v>
      </c>
    </row>
    <row r="180" spans="2:17" ht="30" customHeight="1" x14ac:dyDescent="0.45">
      <c r="B180" s="87"/>
      <c r="C180" s="159"/>
      <c r="D180" s="89"/>
      <c r="E180" s="67" t="s">
        <v>30</v>
      </c>
      <c r="F180" s="77">
        <v>4</v>
      </c>
      <c r="G180" s="80">
        <v>6</v>
      </c>
      <c r="H180" s="69" t="str">
        <f t="shared" si="25"/>
        <v>1T0406</v>
      </c>
      <c r="I180" s="65">
        <f>I179+2</f>
        <v>7</v>
      </c>
      <c r="J180" s="65" t="str">
        <f t="shared" si="26"/>
        <v>7-1T0406/*-*</v>
      </c>
      <c r="K180" s="65" t="s">
        <v>33</v>
      </c>
      <c r="L180" s="65" t="s">
        <v>33</v>
      </c>
      <c r="M180" s="65" t="str">
        <f t="shared" si="27"/>
        <v>*-*/1T0406-7</v>
      </c>
      <c r="N180" s="159"/>
      <c r="O180" s="159"/>
      <c r="P180" s="75" t="s">
        <v>44</v>
      </c>
      <c r="Q180" s="162"/>
    </row>
    <row r="181" spans="2:17" ht="30" customHeight="1" x14ac:dyDescent="0.45">
      <c r="B181" s="87"/>
      <c r="C181" s="159"/>
      <c r="D181" s="89"/>
      <c r="E181" s="65" t="s">
        <v>323</v>
      </c>
      <c r="F181" s="77">
        <v>4</v>
      </c>
      <c r="G181" s="80">
        <v>6</v>
      </c>
      <c r="H181" s="69" t="str">
        <f t="shared" si="25"/>
        <v>1T0406</v>
      </c>
      <c r="I181" s="65">
        <f>I180+1</f>
        <v>8</v>
      </c>
      <c r="J181" s="65" t="str">
        <f t="shared" si="26"/>
        <v>8-1T0406/*-*</v>
      </c>
      <c r="K181" s="65" t="s">
        <v>33</v>
      </c>
      <c r="L181" s="65" t="s">
        <v>33</v>
      </c>
      <c r="M181" s="65" t="str">
        <f t="shared" si="27"/>
        <v>*-*/1T0406-8</v>
      </c>
      <c r="N181" s="159"/>
      <c r="O181" s="159"/>
      <c r="P181" s="75" t="s">
        <v>31</v>
      </c>
      <c r="Q181" s="162"/>
    </row>
    <row r="182" spans="2:17" ht="30" customHeight="1" x14ac:dyDescent="0.45">
      <c r="B182" s="87"/>
      <c r="C182" s="159"/>
      <c r="D182" s="89"/>
      <c r="E182" s="65" t="s">
        <v>324</v>
      </c>
      <c r="F182" s="77" t="s">
        <v>45</v>
      </c>
      <c r="G182" s="80" t="s">
        <v>45</v>
      </c>
      <c r="H182" s="69" t="s">
        <v>45</v>
      </c>
      <c r="I182" s="65" t="s">
        <v>45</v>
      </c>
      <c r="J182" s="65" t="s">
        <v>45</v>
      </c>
      <c r="K182" s="65" t="s">
        <v>45</v>
      </c>
      <c r="L182" s="65" t="s">
        <v>45</v>
      </c>
      <c r="M182" s="65" t="s">
        <v>45</v>
      </c>
      <c r="N182" s="159"/>
      <c r="O182" s="159"/>
      <c r="P182" s="75" t="s">
        <v>34</v>
      </c>
      <c r="Q182" s="162"/>
    </row>
    <row r="183" spans="2:17" ht="30" customHeight="1" x14ac:dyDescent="0.45">
      <c r="B183" s="87"/>
      <c r="C183" s="159"/>
      <c r="D183" s="89"/>
      <c r="E183" s="65" t="s">
        <v>325</v>
      </c>
      <c r="F183" s="77" t="s">
        <v>45</v>
      </c>
      <c r="G183" s="80" t="s">
        <v>45</v>
      </c>
      <c r="H183" s="69" t="s">
        <v>45</v>
      </c>
      <c r="I183" s="65" t="s">
        <v>45</v>
      </c>
      <c r="J183" s="65" t="s">
        <v>45</v>
      </c>
      <c r="K183" s="65" t="s">
        <v>45</v>
      </c>
      <c r="L183" s="65" t="s">
        <v>45</v>
      </c>
      <c r="M183" s="65" t="s">
        <v>45</v>
      </c>
      <c r="N183" s="159"/>
      <c r="O183" s="159"/>
      <c r="P183" s="75" t="s">
        <v>34</v>
      </c>
      <c r="Q183" s="162"/>
    </row>
    <row r="184" spans="2:17" ht="30" customHeight="1" x14ac:dyDescent="0.45">
      <c r="B184" s="87"/>
      <c r="C184" s="159"/>
      <c r="D184" s="89"/>
      <c r="E184" s="65" t="s">
        <v>326</v>
      </c>
      <c r="F184" s="77" t="s">
        <v>45</v>
      </c>
      <c r="G184" s="80" t="s">
        <v>45</v>
      </c>
      <c r="H184" s="69" t="s">
        <v>45</v>
      </c>
      <c r="I184" s="65" t="s">
        <v>45</v>
      </c>
      <c r="J184" s="65" t="s">
        <v>45</v>
      </c>
      <c r="K184" s="65" t="s">
        <v>45</v>
      </c>
      <c r="L184" s="65" t="s">
        <v>45</v>
      </c>
      <c r="M184" s="65" t="s">
        <v>45</v>
      </c>
      <c r="N184" s="159"/>
      <c r="O184" s="159"/>
      <c r="P184" s="75" t="s">
        <v>34</v>
      </c>
      <c r="Q184" s="162"/>
    </row>
    <row r="185" spans="2:17" ht="30" customHeight="1" x14ac:dyDescent="0.45">
      <c r="B185" s="87"/>
      <c r="C185" s="159"/>
      <c r="D185" s="89"/>
      <c r="E185" s="65" t="s">
        <v>327</v>
      </c>
      <c r="F185" s="77" t="s">
        <v>45</v>
      </c>
      <c r="G185" s="80" t="s">
        <v>45</v>
      </c>
      <c r="H185" s="69" t="s">
        <v>45</v>
      </c>
      <c r="I185" s="65" t="s">
        <v>45</v>
      </c>
      <c r="J185" s="65" t="s">
        <v>45</v>
      </c>
      <c r="K185" s="65" t="s">
        <v>45</v>
      </c>
      <c r="L185" s="65" t="s">
        <v>45</v>
      </c>
      <c r="M185" s="65" t="s">
        <v>45</v>
      </c>
      <c r="N185" s="159"/>
      <c r="O185" s="159"/>
      <c r="P185" s="75" t="s">
        <v>34</v>
      </c>
      <c r="Q185" s="163"/>
    </row>
    <row r="186" spans="2:17" ht="30" customHeight="1" x14ac:dyDescent="0.3">
      <c r="B186" s="87">
        <f>B171+1</f>
        <v>16</v>
      </c>
      <c r="C186" s="159" t="str">
        <f t="shared" ref="C186" si="33">N186&amp;" - PLC"</f>
        <v>66KV-HT-I/C-03 - PLC</v>
      </c>
      <c r="D186" s="89" t="s">
        <v>330</v>
      </c>
      <c r="E186" s="67" t="s">
        <v>13</v>
      </c>
      <c r="F186" s="77">
        <v>2</v>
      </c>
      <c r="G186" s="80">
        <v>7</v>
      </c>
      <c r="H186" s="69" t="str">
        <f t="shared" si="25"/>
        <v>1T0207</v>
      </c>
      <c r="I186" s="65">
        <f>I178+1</f>
        <v>15</v>
      </c>
      <c r="J186" s="65" t="str">
        <f t="shared" si="26"/>
        <v>15-1T0207/*-*</v>
      </c>
      <c r="K186" s="65" t="s">
        <v>33</v>
      </c>
      <c r="L186" s="65" t="s">
        <v>33</v>
      </c>
      <c r="M186" s="65" t="str">
        <f t="shared" si="27"/>
        <v>*-*/1T0207-15</v>
      </c>
      <c r="N186" s="159" t="s">
        <v>242</v>
      </c>
      <c r="O186" s="159" t="s">
        <v>259</v>
      </c>
      <c r="P186" s="68" t="s">
        <v>41</v>
      </c>
      <c r="Q186" s="89" t="str" cm="1">
        <f t="array" ref="Q186">UPPER(
   "In PLC side, " &amp;
   _xlfn.TEXTJOIN(", ", TRUE,
      H186:INDEX(H186:H197, MATCH("COMMON",P186:P197,0)-2) &amp;
      ": " &amp;
      (I186:INDEX(I186:I197, MATCH("COMMON",P186:P197,0)-2)+1)
   ) &amp;
   " &amp; " &amp;
   INDEX(H186:H197, MATCH("COMMON",P186:P197,0)-1) &amp; ": " &amp;
   INDEX(I186:I197, MATCH("COMMON",P186:P197,0)-1)+1 &amp;
   " are already looped"
)</f>
        <v>IN PLC SIDE, 1T0207: 16, 1T0207: 18, 1T0207: 20, 1T0207: 22, 1T0207: 24, 1T0207: 26 &amp; 1T0208: 2 ARE ALREADY LOOPED</v>
      </c>
    </row>
    <row r="187" spans="2:17" ht="30" customHeight="1" x14ac:dyDescent="0.3">
      <c r="B187" s="87"/>
      <c r="C187" s="159"/>
      <c r="D187" s="89"/>
      <c r="E187" s="67" t="s">
        <v>14</v>
      </c>
      <c r="F187" s="77">
        <v>2</v>
      </c>
      <c r="G187" s="80">
        <v>7</v>
      </c>
      <c r="H187" s="69" t="str">
        <f t="shared" si="25"/>
        <v>1T0207</v>
      </c>
      <c r="I187" s="65">
        <f>I186+2</f>
        <v>17</v>
      </c>
      <c r="J187" s="65" t="str">
        <f t="shared" si="26"/>
        <v>17-1T0207/*-*</v>
      </c>
      <c r="K187" s="65" t="s">
        <v>33</v>
      </c>
      <c r="L187" s="65" t="s">
        <v>33</v>
      </c>
      <c r="M187" s="65" t="str">
        <f t="shared" si="27"/>
        <v>*-*/1T0207-17</v>
      </c>
      <c r="N187" s="159"/>
      <c r="O187" s="159"/>
      <c r="P187" s="68" t="s">
        <v>42</v>
      </c>
      <c r="Q187" s="89"/>
    </row>
    <row r="188" spans="2:17" ht="30" customHeight="1" x14ac:dyDescent="0.3">
      <c r="B188" s="87"/>
      <c r="C188" s="159"/>
      <c r="D188" s="89"/>
      <c r="E188" s="67" t="s">
        <v>15</v>
      </c>
      <c r="F188" s="77">
        <v>2</v>
      </c>
      <c r="G188" s="80">
        <v>7</v>
      </c>
      <c r="H188" s="69" t="str">
        <f t="shared" si="25"/>
        <v>1T0207</v>
      </c>
      <c r="I188" s="65">
        <f>I187+2</f>
        <v>19</v>
      </c>
      <c r="J188" s="65" t="str">
        <f t="shared" si="26"/>
        <v>19-1T0207/*-*</v>
      </c>
      <c r="K188" s="65" t="s">
        <v>33</v>
      </c>
      <c r="L188" s="65" t="s">
        <v>33</v>
      </c>
      <c r="M188" s="65" t="str">
        <f t="shared" si="27"/>
        <v>*-*/1T0207-19</v>
      </c>
      <c r="N188" s="159"/>
      <c r="O188" s="159"/>
      <c r="P188" s="68" t="s">
        <v>262</v>
      </c>
      <c r="Q188" s="89"/>
    </row>
    <row r="189" spans="2:17" ht="30" customHeight="1" x14ac:dyDescent="0.3">
      <c r="B189" s="87"/>
      <c r="C189" s="159"/>
      <c r="D189" s="89"/>
      <c r="E189" s="67" t="s">
        <v>16</v>
      </c>
      <c r="F189" s="77">
        <v>2</v>
      </c>
      <c r="G189" s="80">
        <v>7</v>
      </c>
      <c r="H189" s="69" t="str">
        <f t="shared" si="25"/>
        <v>1T0207</v>
      </c>
      <c r="I189" s="65">
        <f>I188+2</f>
        <v>21</v>
      </c>
      <c r="J189" s="65" t="str">
        <f t="shared" si="26"/>
        <v>21-1T0207/*-*</v>
      </c>
      <c r="K189" s="65" t="s">
        <v>33</v>
      </c>
      <c r="L189" s="65" t="s">
        <v>33</v>
      </c>
      <c r="M189" s="65" t="str">
        <f t="shared" si="27"/>
        <v>*-*/1T0207-21</v>
      </c>
      <c r="N189" s="159"/>
      <c r="O189" s="159"/>
      <c r="P189" s="68" t="s">
        <v>263</v>
      </c>
      <c r="Q189" s="89"/>
    </row>
    <row r="190" spans="2:17" ht="30" customHeight="1" x14ac:dyDescent="0.45">
      <c r="B190" s="87"/>
      <c r="C190" s="159"/>
      <c r="D190" s="89"/>
      <c r="E190" s="67" t="s">
        <v>17</v>
      </c>
      <c r="F190" s="77">
        <v>2</v>
      </c>
      <c r="G190" s="80">
        <v>7</v>
      </c>
      <c r="H190" s="69" t="str">
        <f t="shared" si="25"/>
        <v>1T0207</v>
      </c>
      <c r="I190" s="65">
        <f>I189+2</f>
        <v>23</v>
      </c>
      <c r="J190" s="65" t="str">
        <f t="shared" si="26"/>
        <v>23-1T0207/*-*</v>
      </c>
      <c r="K190" s="65" t="s">
        <v>33</v>
      </c>
      <c r="L190" s="65" t="s">
        <v>33</v>
      </c>
      <c r="M190" s="65" t="str">
        <f t="shared" si="27"/>
        <v>*-*/1T0207-23</v>
      </c>
      <c r="N190" s="159"/>
      <c r="O190" s="159"/>
      <c r="P190" s="75" t="s">
        <v>238</v>
      </c>
      <c r="Q190" s="89"/>
    </row>
    <row r="191" spans="2:17" ht="30" customHeight="1" x14ac:dyDescent="0.45">
      <c r="B191" s="87"/>
      <c r="C191" s="159"/>
      <c r="D191" s="89"/>
      <c r="E191" s="67" t="s">
        <v>18</v>
      </c>
      <c r="F191" s="77">
        <v>2</v>
      </c>
      <c r="G191" s="80">
        <v>7</v>
      </c>
      <c r="H191" s="69" t="str">
        <f t="shared" si="25"/>
        <v>1T0207</v>
      </c>
      <c r="I191" s="65">
        <f>I190+2</f>
        <v>25</v>
      </c>
      <c r="J191" s="65" t="str">
        <f t="shared" si="26"/>
        <v>25-1T0207/*-*</v>
      </c>
      <c r="K191" s="65" t="s">
        <v>33</v>
      </c>
      <c r="L191" s="65" t="s">
        <v>33</v>
      </c>
      <c r="M191" s="65" t="str">
        <f t="shared" si="27"/>
        <v>*-*/1T0207-25</v>
      </c>
      <c r="N191" s="159"/>
      <c r="O191" s="159"/>
      <c r="P191" s="75" t="s">
        <v>239</v>
      </c>
      <c r="Q191" s="89"/>
    </row>
    <row r="192" spans="2:17" ht="30" customHeight="1" x14ac:dyDescent="0.45">
      <c r="B192" s="87"/>
      <c r="C192" s="159"/>
      <c r="D192" s="89"/>
      <c r="E192" s="67" t="s">
        <v>19</v>
      </c>
      <c r="F192" s="77">
        <v>2</v>
      </c>
      <c r="G192" s="80">
        <v>8</v>
      </c>
      <c r="H192" s="69" t="str">
        <f t="shared" si="25"/>
        <v>1T0208</v>
      </c>
      <c r="I192" s="65">
        <v>1</v>
      </c>
      <c r="J192" s="65" t="str">
        <f t="shared" si="26"/>
        <v>1-1T0208/*-*</v>
      </c>
      <c r="K192" s="65" t="s">
        <v>33</v>
      </c>
      <c r="L192" s="65" t="s">
        <v>33</v>
      </c>
      <c r="M192" s="65" t="str">
        <f t="shared" si="27"/>
        <v>*-*/1T0208-1</v>
      </c>
      <c r="N192" s="159"/>
      <c r="O192" s="159"/>
      <c r="P192" s="75" t="s">
        <v>240</v>
      </c>
      <c r="Q192" s="89"/>
    </row>
    <row r="193" spans="2:17" ht="30" customHeight="1" x14ac:dyDescent="0.45">
      <c r="B193" s="87"/>
      <c r="C193" s="159"/>
      <c r="D193" s="89"/>
      <c r="E193" s="67" t="s">
        <v>20</v>
      </c>
      <c r="F193" s="77">
        <v>2</v>
      </c>
      <c r="G193" s="80">
        <v>8</v>
      </c>
      <c r="H193" s="69" t="str">
        <f t="shared" si="25"/>
        <v>1T0208</v>
      </c>
      <c r="I193" s="65">
        <f>I192+1</f>
        <v>2</v>
      </c>
      <c r="J193" s="65" t="str">
        <f t="shared" si="26"/>
        <v>2-1T0208/*-*</v>
      </c>
      <c r="K193" s="65" t="s">
        <v>33</v>
      </c>
      <c r="L193" s="65" t="s">
        <v>33</v>
      </c>
      <c r="M193" s="65" t="str">
        <f t="shared" si="27"/>
        <v>*-*/1T0208-2</v>
      </c>
      <c r="N193" s="159"/>
      <c r="O193" s="159"/>
      <c r="P193" s="75" t="s">
        <v>31</v>
      </c>
      <c r="Q193" s="89"/>
    </row>
    <row r="194" spans="2:17" ht="30" customHeight="1" x14ac:dyDescent="0.45">
      <c r="B194" s="87"/>
      <c r="C194" s="159"/>
      <c r="D194" s="89"/>
      <c r="E194" s="67" t="s">
        <v>21</v>
      </c>
      <c r="F194" s="77">
        <v>4</v>
      </c>
      <c r="G194" s="80">
        <v>6</v>
      </c>
      <c r="H194" s="69" t="str">
        <f t="shared" si="25"/>
        <v>1T0406</v>
      </c>
      <c r="I194" s="65">
        <v>9</v>
      </c>
      <c r="J194" s="65" t="str">
        <f t="shared" si="26"/>
        <v>9-1T0406/*-*</v>
      </c>
      <c r="K194" s="65" t="s">
        <v>33</v>
      </c>
      <c r="L194" s="65" t="s">
        <v>33</v>
      </c>
      <c r="M194" s="65" t="str">
        <f t="shared" si="27"/>
        <v>*-*/1T0406-9</v>
      </c>
      <c r="N194" s="159"/>
      <c r="O194" s="159"/>
      <c r="P194" s="75" t="s">
        <v>43</v>
      </c>
      <c r="Q194" s="161" t="str" cm="1">
        <f t="array" ref="Q194">UPPER(
   "In PLC side, " &amp;
   _xlfn.TEXTJOIN(", ", TRUE,
      H194:INDEX(H194:H203, MATCH("COMMON",P194:P203,0)-2) &amp;
      ": " &amp;
      (I194:INDEX(I194:I203, MATCH("COMMON",P194:P203,0)-2)+1)
   ) &amp;
   " &amp; " &amp;
   INDEX(H194:H203, MATCH("COMMON",P194:P203,0)-1) &amp; ": " &amp;
   INDEX(I194:I203, MATCH("COMMON",P194:P203,0)-1)+1 &amp;
   " are already looped"
)</f>
        <v>IN PLC SIDE, 1T0406: 10 &amp; 1T0406: 12 ARE ALREADY LOOPED</v>
      </c>
    </row>
    <row r="195" spans="2:17" ht="30" customHeight="1" x14ac:dyDescent="0.45">
      <c r="B195" s="87"/>
      <c r="C195" s="159"/>
      <c r="D195" s="89"/>
      <c r="E195" s="67" t="s">
        <v>30</v>
      </c>
      <c r="F195" s="77">
        <v>4</v>
      </c>
      <c r="G195" s="80">
        <v>6</v>
      </c>
      <c r="H195" s="69" t="str">
        <f t="shared" si="25"/>
        <v>1T0406</v>
      </c>
      <c r="I195" s="65">
        <f>I194+2</f>
        <v>11</v>
      </c>
      <c r="J195" s="65" t="str">
        <f t="shared" si="26"/>
        <v>11-1T0406/*-*</v>
      </c>
      <c r="K195" s="65" t="s">
        <v>33</v>
      </c>
      <c r="L195" s="65" t="s">
        <v>33</v>
      </c>
      <c r="M195" s="65" t="str">
        <f t="shared" si="27"/>
        <v>*-*/1T0406-11</v>
      </c>
      <c r="N195" s="159"/>
      <c r="O195" s="159"/>
      <c r="P195" s="75" t="s">
        <v>44</v>
      </c>
      <c r="Q195" s="162"/>
    </row>
    <row r="196" spans="2:17" ht="30" customHeight="1" x14ac:dyDescent="0.45">
      <c r="B196" s="87"/>
      <c r="C196" s="159"/>
      <c r="D196" s="89"/>
      <c r="E196" s="65" t="s">
        <v>323</v>
      </c>
      <c r="F196" s="77">
        <v>4</v>
      </c>
      <c r="G196" s="80">
        <v>6</v>
      </c>
      <c r="H196" s="69" t="str">
        <f t="shared" si="25"/>
        <v>1T0406</v>
      </c>
      <c r="I196" s="65">
        <f>I195+1</f>
        <v>12</v>
      </c>
      <c r="J196" s="65" t="str">
        <f t="shared" si="26"/>
        <v>12-1T0406/*-*</v>
      </c>
      <c r="K196" s="65" t="s">
        <v>33</v>
      </c>
      <c r="L196" s="65" t="s">
        <v>33</v>
      </c>
      <c r="M196" s="65" t="str">
        <f t="shared" si="27"/>
        <v>*-*/1T0406-12</v>
      </c>
      <c r="N196" s="159"/>
      <c r="O196" s="159"/>
      <c r="P196" s="75" t="s">
        <v>31</v>
      </c>
      <c r="Q196" s="162"/>
    </row>
    <row r="197" spans="2:17" ht="30" customHeight="1" x14ac:dyDescent="0.45">
      <c r="B197" s="87"/>
      <c r="C197" s="159"/>
      <c r="D197" s="89"/>
      <c r="E197" s="65" t="s">
        <v>324</v>
      </c>
      <c r="F197" s="77" t="s">
        <v>45</v>
      </c>
      <c r="G197" s="80" t="s">
        <v>45</v>
      </c>
      <c r="H197" s="69" t="s">
        <v>45</v>
      </c>
      <c r="I197" s="65" t="s">
        <v>45</v>
      </c>
      <c r="J197" s="65" t="s">
        <v>45</v>
      </c>
      <c r="K197" s="65" t="s">
        <v>45</v>
      </c>
      <c r="L197" s="65" t="s">
        <v>45</v>
      </c>
      <c r="M197" s="65" t="s">
        <v>45</v>
      </c>
      <c r="N197" s="159"/>
      <c r="O197" s="159"/>
      <c r="P197" s="75" t="s">
        <v>34</v>
      </c>
      <c r="Q197" s="162"/>
    </row>
    <row r="198" spans="2:17" ht="30" customHeight="1" x14ac:dyDescent="0.45">
      <c r="B198" s="87"/>
      <c r="C198" s="159"/>
      <c r="D198" s="89"/>
      <c r="E198" s="65" t="s">
        <v>325</v>
      </c>
      <c r="F198" s="77" t="s">
        <v>45</v>
      </c>
      <c r="G198" s="80" t="s">
        <v>45</v>
      </c>
      <c r="H198" s="69" t="s">
        <v>45</v>
      </c>
      <c r="I198" s="65" t="s">
        <v>45</v>
      </c>
      <c r="J198" s="65" t="s">
        <v>45</v>
      </c>
      <c r="K198" s="65" t="s">
        <v>45</v>
      </c>
      <c r="L198" s="65" t="s">
        <v>45</v>
      </c>
      <c r="M198" s="65" t="s">
        <v>45</v>
      </c>
      <c r="N198" s="159"/>
      <c r="O198" s="159"/>
      <c r="P198" s="75" t="s">
        <v>34</v>
      </c>
      <c r="Q198" s="162"/>
    </row>
    <row r="199" spans="2:17" ht="30" customHeight="1" x14ac:dyDescent="0.45">
      <c r="B199" s="87"/>
      <c r="C199" s="159"/>
      <c r="D199" s="89"/>
      <c r="E199" s="65" t="s">
        <v>326</v>
      </c>
      <c r="F199" s="77" t="s">
        <v>45</v>
      </c>
      <c r="G199" s="80" t="s">
        <v>45</v>
      </c>
      <c r="H199" s="69" t="s">
        <v>45</v>
      </c>
      <c r="I199" s="65" t="s">
        <v>45</v>
      </c>
      <c r="J199" s="65" t="s">
        <v>45</v>
      </c>
      <c r="K199" s="65" t="s">
        <v>45</v>
      </c>
      <c r="L199" s="65" t="s">
        <v>45</v>
      </c>
      <c r="M199" s="65" t="s">
        <v>45</v>
      </c>
      <c r="N199" s="159"/>
      <c r="O199" s="159"/>
      <c r="P199" s="75" t="s">
        <v>34</v>
      </c>
      <c r="Q199" s="162"/>
    </row>
    <row r="200" spans="2:17" ht="30" customHeight="1" x14ac:dyDescent="0.45">
      <c r="B200" s="87"/>
      <c r="C200" s="159"/>
      <c r="D200" s="89"/>
      <c r="E200" s="65" t="s">
        <v>327</v>
      </c>
      <c r="F200" s="77" t="s">
        <v>45</v>
      </c>
      <c r="G200" s="80" t="s">
        <v>45</v>
      </c>
      <c r="H200" s="69" t="s">
        <v>45</v>
      </c>
      <c r="I200" s="65" t="s">
        <v>45</v>
      </c>
      <c r="J200" s="65" t="s">
        <v>45</v>
      </c>
      <c r="K200" s="65" t="s">
        <v>45</v>
      </c>
      <c r="L200" s="65" t="s">
        <v>45</v>
      </c>
      <c r="M200" s="65" t="s">
        <v>45</v>
      </c>
      <c r="N200" s="159"/>
      <c r="O200" s="159"/>
      <c r="P200" s="75" t="s">
        <v>34</v>
      </c>
      <c r="Q200" s="163"/>
    </row>
    <row r="201" spans="2:17" ht="30" customHeight="1" x14ac:dyDescent="0.45">
      <c r="B201" s="87">
        <f>B186+1</f>
        <v>17</v>
      </c>
      <c r="C201" s="159" t="str">
        <f t="shared" ref="C201" si="34">N201&amp;" - PLC"</f>
        <v>10MVA-HT-T/R-01 - PLC</v>
      </c>
      <c r="D201" s="89" t="s">
        <v>255</v>
      </c>
      <c r="E201" s="67" t="s">
        <v>13</v>
      </c>
      <c r="F201" s="77">
        <v>2</v>
      </c>
      <c r="G201" s="80">
        <v>8</v>
      </c>
      <c r="H201" s="69" t="str">
        <f t="shared" ref="H201:H264" si="35">"1T"&amp;TEXT(F201,"00")&amp;TEXT(G201,"00")</f>
        <v>1T0208</v>
      </c>
      <c r="I201" s="65">
        <f>I193+1</f>
        <v>3</v>
      </c>
      <c r="J201" s="65" t="str">
        <f t="shared" ref="J201:J264" si="36">CONCATENATE(I201,"-",H201,"/",K201,"-",L201)</f>
        <v>3-1T0208/*-*</v>
      </c>
      <c r="K201" s="65" t="s">
        <v>33</v>
      </c>
      <c r="L201" s="65" t="s">
        <v>33</v>
      </c>
      <c r="M201" s="65" t="str">
        <f t="shared" ref="M201:M264" si="37">CONCATENATE(L201,"-",K201,"/",H201,"-",I201)</f>
        <v>*-*/1T0208-3</v>
      </c>
      <c r="N201" s="159" t="s">
        <v>243</v>
      </c>
      <c r="O201" s="159" t="s">
        <v>244</v>
      </c>
      <c r="P201" s="75" t="s">
        <v>245</v>
      </c>
      <c r="Q201" s="161" t="str" cm="1">
        <f t="array" ref="Q201">UPPER(
   "In PLC side, " &amp;
   _xlfn.TEXTJOIN(", ", TRUE,
      H201:INDEX(H201:H212, MATCH("COMMON",P201:P212,0)-2) &amp;
      ": " &amp;
      (I201:INDEX(I201:I212, MATCH("COMMON",P201:P212,0)-2)+1)
   ) &amp;
   " &amp; " &amp;
   INDEX(H201:H212, MATCH("COMMON",P201:P212,0)-1) &amp; ": " &amp;
   INDEX(I201:I212, MATCH("COMMON",P201:P212,0)-1)+1 &amp;
   " are already looped"
)</f>
        <v>IN PLC SIDE, 1T0208: 4, 1T0208: 6, 1T0208: 8, 1T0208: 10, 1T0208: 12, 1T0208: 14, 1T0208: 16, 1T0208: 18, 1T0208: 20 &amp; 1T0208: 22 ARE ALREADY LOOPED</v>
      </c>
    </row>
    <row r="202" spans="2:17" ht="30" customHeight="1" x14ac:dyDescent="0.45">
      <c r="B202" s="87"/>
      <c r="C202" s="159"/>
      <c r="D202" s="89"/>
      <c r="E202" s="67" t="s">
        <v>14</v>
      </c>
      <c r="F202" s="77">
        <v>2</v>
      </c>
      <c r="G202" s="80">
        <v>8</v>
      </c>
      <c r="H202" s="69" t="str">
        <f t="shared" si="35"/>
        <v>1T0208</v>
      </c>
      <c r="I202" s="65">
        <f t="shared" ref="I202:I210" si="38">I201+2</f>
        <v>5</v>
      </c>
      <c r="J202" s="65" t="str">
        <f t="shared" si="36"/>
        <v>5-1T0208/*-*</v>
      </c>
      <c r="K202" s="65" t="s">
        <v>33</v>
      </c>
      <c r="L202" s="65" t="s">
        <v>33</v>
      </c>
      <c r="M202" s="65" t="str">
        <f t="shared" si="37"/>
        <v>*-*/1T0208-5</v>
      </c>
      <c r="N202" s="159"/>
      <c r="O202" s="159"/>
      <c r="P202" s="75" t="s">
        <v>246</v>
      </c>
      <c r="Q202" s="162"/>
    </row>
    <row r="203" spans="2:17" ht="30" customHeight="1" x14ac:dyDescent="0.45">
      <c r="B203" s="87"/>
      <c r="C203" s="159"/>
      <c r="D203" s="89"/>
      <c r="E203" s="67" t="s">
        <v>15</v>
      </c>
      <c r="F203" s="77">
        <v>2</v>
      </c>
      <c r="G203" s="80">
        <v>8</v>
      </c>
      <c r="H203" s="69" t="str">
        <f t="shared" si="35"/>
        <v>1T0208</v>
      </c>
      <c r="I203" s="65">
        <f t="shared" si="38"/>
        <v>7</v>
      </c>
      <c r="J203" s="65" t="str">
        <f t="shared" si="36"/>
        <v>7-1T0208/*-*</v>
      </c>
      <c r="K203" s="65" t="s">
        <v>33</v>
      </c>
      <c r="L203" s="65" t="s">
        <v>33</v>
      </c>
      <c r="M203" s="65" t="str">
        <f t="shared" si="37"/>
        <v>*-*/1T0208-7</v>
      </c>
      <c r="N203" s="159"/>
      <c r="O203" s="159"/>
      <c r="P203" s="75" t="s">
        <v>247</v>
      </c>
      <c r="Q203" s="162"/>
    </row>
    <row r="204" spans="2:17" ht="30" customHeight="1" x14ac:dyDescent="0.45">
      <c r="B204" s="87"/>
      <c r="C204" s="159"/>
      <c r="D204" s="89"/>
      <c r="E204" s="67" t="s">
        <v>16</v>
      </c>
      <c r="F204" s="77">
        <v>2</v>
      </c>
      <c r="G204" s="80">
        <v>8</v>
      </c>
      <c r="H204" s="69" t="str">
        <f t="shared" si="35"/>
        <v>1T0208</v>
      </c>
      <c r="I204" s="65">
        <f t="shared" si="38"/>
        <v>9</v>
      </c>
      <c r="J204" s="65" t="str">
        <f t="shared" si="36"/>
        <v>9-1T0208/*-*</v>
      </c>
      <c r="K204" s="65" t="s">
        <v>33</v>
      </c>
      <c r="L204" s="65" t="s">
        <v>33</v>
      </c>
      <c r="M204" s="65" t="str">
        <f t="shared" si="37"/>
        <v>*-*/1T0208-9</v>
      </c>
      <c r="N204" s="159"/>
      <c r="O204" s="159"/>
      <c r="P204" s="75" t="s">
        <v>248</v>
      </c>
      <c r="Q204" s="162"/>
    </row>
    <row r="205" spans="2:17" ht="30" customHeight="1" x14ac:dyDescent="0.45">
      <c r="B205" s="87"/>
      <c r="C205" s="159"/>
      <c r="D205" s="89"/>
      <c r="E205" s="67" t="s">
        <v>17</v>
      </c>
      <c r="F205" s="77">
        <v>2</v>
      </c>
      <c r="G205" s="80">
        <v>8</v>
      </c>
      <c r="H205" s="69" t="str">
        <f t="shared" si="35"/>
        <v>1T0208</v>
      </c>
      <c r="I205" s="65">
        <f t="shared" si="38"/>
        <v>11</v>
      </c>
      <c r="J205" s="65" t="str">
        <f t="shared" si="36"/>
        <v>11-1T0208/*-*</v>
      </c>
      <c r="K205" s="65" t="s">
        <v>33</v>
      </c>
      <c r="L205" s="65" t="s">
        <v>33</v>
      </c>
      <c r="M205" s="65" t="str">
        <f t="shared" si="37"/>
        <v>*-*/1T0208-11</v>
      </c>
      <c r="N205" s="159"/>
      <c r="O205" s="159"/>
      <c r="P205" s="75" t="s">
        <v>249</v>
      </c>
      <c r="Q205" s="162"/>
    </row>
    <row r="206" spans="2:17" ht="30" customHeight="1" x14ac:dyDescent="0.45">
      <c r="B206" s="87"/>
      <c r="C206" s="159"/>
      <c r="D206" s="89"/>
      <c r="E206" s="67" t="s">
        <v>18</v>
      </c>
      <c r="F206" s="77">
        <v>2</v>
      </c>
      <c r="G206" s="80">
        <v>8</v>
      </c>
      <c r="H206" s="69" t="str">
        <f t="shared" si="35"/>
        <v>1T0208</v>
      </c>
      <c r="I206" s="65">
        <f t="shared" si="38"/>
        <v>13</v>
      </c>
      <c r="J206" s="65" t="str">
        <f t="shared" si="36"/>
        <v>13-1T0208/*-*</v>
      </c>
      <c r="K206" s="65" t="s">
        <v>33</v>
      </c>
      <c r="L206" s="65" t="s">
        <v>33</v>
      </c>
      <c r="M206" s="65" t="str">
        <f t="shared" si="37"/>
        <v>*-*/1T0208-13</v>
      </c>
      <c r="N206" s="159"/>
      <c r="O206" s="159"/>
      <c r="P206" s="75" t="s">
        <v>250</v>
      </c>
      <c r="Q206" s="162"/>
    </row>
    <row r="207" spans="2:17" ht="30" customHeight="1" x14ac:dyDescent="0.45">
      <c r="B207" s="87"/>
      <c r="C207" s="159"/>
      <c r="D207" s="89"/>
      <c r="E207" s="67" t="s">
        <v>19</v>
      </c>
      <c r="F207" s="77">
        <v>2</v>
      </c>
      <c r="G207" s="80">
        <v>8</v>
      </c>
      <c r="H207" s="69" t="str">
        <f t="shared" si="35"/>
        <v>1T0208</v>
      </c>
      <c r="I207" s="65">
        <f t="shared" si="38"/>
        <v>15</v>
      </c>
      <c r="J207" s="65" t="str">
        <f t="shared" si="36"/>
        <v>15-1T0208/*-*</v>
      </c>
      <c r="K207" s="65" t="s">
        <v>33</v>
      </c>
      <c r="L207" s="65" t="s">
        <v>33</v>
      </c>
      <c r="M207" s="65" t="str">
        <f t="shared" si="37"/>
        <v>*-*/1T0208-15</v>
      </c>
      <c r="N207" s="159"/>
      <c r="O207" s="159"/>
      <c r="P207" s="75" t="s">
        <v>251</v>
      </c>
      <c r="Q207" s="162"/>
    </row>
    <row r="208" spans="2:17" ht="30" customHeight="1" x14ac:dyDescent="0.45">
      <c r="B208" s="87"/>
      <c r="C208" s="159"/>
      <c r="D208" s="89"/>
      <c r="E208" s="67" t="s">
        <v>20</v>
      </c>
      <c r="F208" s="77">
        <v>2</v>
      </c>
      <c r="G208" s="80">
        <v>8</v>
      </c>
      <c r="H208" s="69" t="str">
        <f t="shared" si="35"/>
        <v>1T0208</v>
      </c>
      <c r="I208" s="65">
        <f t="shared" si="38"/>
        <v>17</v>
      </c>
      <c r="J208" s="65" t="str">
        <f t="shared" si="36"/>
        <v>17-1T0208/*-*</v>
      </c>
      <c r="K208" s="65" t="s">
        <v>33</v>
      </c>
      <c r="L208" s="65" t="s">
        <v>33</v>
      </c>
      <c r="M208" s="65" t="str">
        <f t="shared" si="37"/>
        <v>*-*/1T0208-17</v>
      </c>
      <c r="N208" s="159"/>
      <c r="O208" s="159"/>
      <c r="P208" s="75" t="s">
        <v>252</v>
      </c>
      <c r="Q208" s="162"/>
    </row>
    <row r="209" spans="2:17" ht="30" customHeight="1" x14ac:dyDescent="0.45">
      <c r="B209" s="87"/>
      <c r="C209" s="159"/>
      <c r="D209" s="89"/>
      <c r="E209" s="67" t="s">
        <v>21</v>
      </c>
      <c r="F209" s="77">
        <v>2</v>
      </c>
      <c r="G209" s="80">
        <v>8</v>
      </c>
      <c r="H209" s="69" t="str">
        <f t="shared" si="35"/>
        <v>1T0208</v>
      </c>
      <c r="I209" s="65">
        <f t="shared" si="38"/>
        <v>19</v>
      </c>
      <c r="J209" s="65" t="str">
        <f t="shared" si="36"/>
        <v>19-1T0208/*-*</v>
      </c>
      <c r="K209" s="65" t="s">
        <v>33</v>
      </c>
      <c r="L209" s="65" t="s">
        <v>33</v>
      </c>
      <c r="M209" s="65" t="str">
        <f t="shared" si="37"/>
        <v>*-*/1T0208-19</v>
      </c>
      <c r="N209" s="159"/>
      <c r="O209" s="159"/>
      <c r="P209" s="75" t="s">
        <v>253</v>
      </c>
      <c r="Q209" s="162"/>
    </row>
    <row r="210" spans="2:17" ht="30" customHeight="1" x14ac:dyDescent="0.45">
      <c r="B210" s="87"/>
      <c r="C210" s="159"/>
      <c r="D210" s="89"/>
      <c r="E210" s="67" t="s">
        <v>30</v>
      </c>
      <c r="F210" s="77">
        <v>2</v>
      </c>
      <c r="G210" s="80">
        <v>8</v>
      </c>
      <c r="H210" s="69" t="str">
        <f t="shared" si="35"/>
        <v>1T0208</v>
      </c>
      <c r="I210" s="65">
        <f t="shared" si="38"/>
        <v>21</v>
      </c>
      <c r="J210" s="65" t="str">
        <f t="shared" si="36"/>
        <v>21-1T0208/*-*</v>
      </c>
      <c r="K210" s="65" t="s">
        <v>33</v>
      </c>
      <c r="L210" s="65" t="s">
        <v>33</v>
      </c>
      <c r="M210" s="65" t="str">
        <f t="shared" si="37"/>
        <v>*-*/1T0208-21</v>
      </c>
      <c r="N210" s="159"/>
      <c r="O210" s="159"/>
      <c r="P210" s="75" t="s">
        <v>254</v>
      </c>
      <c r="Q210" s="162"/>
    </row>
    <row r="211" spans="2:17" ht="30" customHeight="1" x14ac:dyDescent="0.45">
      <c r="B211" s="87"/>
      <c r="C211" s="159"/>
      <c r="D211" s="89"/>
      <c r="E211" s="65" t="s">
        <v>323</v>
      </c>
      <c r="F211" s="77">
        <v>2</v>
      </c>
      <c r="G211" s="80">
        <v>8</v>
      </c>
      <c r="H211" s="69" t="str">
        <f t="shared" si="35"/>
        <v>1T0208</v>
      </c>
      <c r="I211" s="65">
        <f>I210+1</f>
        <v>22</v>
      </c>
      <c r="J211" s="65" t="str">
        <f t="shared" si="36"/>
        <v>22-1T0208/*-*</v>
      </c>
      <c r="K211" s="65" t="s">
        <v>33</v>
      </c>
      <c r="L211" s="65" t="s">
        <v>33</v>
      </c>
      <c r="M211" s="65" t="str">
        <f t="shared" si="37"/>
        <v>*-*/1T0208-22</v>
      </c>
      <c r="N211" s="159"/>
      <c r="O211" s="159"/>
      <c r="P211" s="75" t="s">
        <v>31</v>
      </c>
      <c r="Q211" s="162"/>
    </row>
    <row r="212" spans="2:17" ht="30" customHeight="1" x14ac:dyDescent="0.45">
      <c r="B212" s="87"/>
      <c r="C212" s="159"/>
      <c r="D212" s="89"/>
      <c r="E212" s="65" t="s">
        <v>324</v>
      </c>
      <c r="F212" s="77" t="s">
        <v>45</v>
      </c>
      <c r="G212" s="80" t="s">
        <v>45</v>
      </c>
      <c r="H212" s="69" t="s">
        <v>45</v>
      </c>
      <c r="I212" s="65" t="s">
        <v>45</v>
      </c>
      <c r="J212" s="65" t="s">
        <v>45</v>
      </c>
      <c r="K212" s="65" t="s">
        <v>45</v>
      </c>
      <c r="L212" s="65" t="s">
        <v>45</v>
      </c>
      <c r="M212" s="65" t="s">
        <v>45</v>
      </c>
      <c r="N212" s="159"/>
      <c r="O212" s="159"/>
      <c r="P212" s="75" t="s">
        <v>34</v>
      </c>
      <c r="Q212" s="163"/>
    </row>
    <row r="213" spans="2:17" ht="30" customHeight="1" x14ac:dyDescent="0.45">
      <c r="B213" s="87">
        <f>B201+1</f>
        <v>18</v>
      </c>
      <c r="C213" s="159" t="str">
        <f t="shared" ref="C213:C225" si="39">N213&amp;" - PLC"</f>
        <v>10MVA-HT-T/R-02 - PLC</v>
      </c>
      <c r="D213" s="89" t="s">
        <v>255</v>
      </c>
      <c r="E213" s="67" t="s">
        <v>13</v>
      </c>
      <c r="F213" s="77">
        <v>2</v>
      </c>
      <c r="G213" s="80">
        <v>8</v>
      </c>
      <c r="H213" s="69" t="str">
        <f t="shared" si="35"/>
        <v>1T0208</v>
      </c>
      <c r="I213" s="65">
        <f>I211+1</f>
        <v>23</v>
      </c>
      <c r="J213" s="65" t="str">
        <f t="shared" si="36"/>
        <v>23-1T0208/*-*</v>
      </c>
      <c r="K213" s="65" t="s">
        <v>33</v>
      </c>
      <c r="L213" s="65" t="s">
        <v>33</v>
      </c>
      <c r="M213" s="65" t="str">
        <f t="shared" si="37"/>
        <v>*-*/1T0208-23</v>
      </c>
      <c r="N213" s="159" t="s">
        <v>256</v>
      </c>
      <c r="O213" s="159" t="s">
        <v>257</v>
      </c>
      <c r="P213" s="75" t="s">
        <v>245</v>
      </c>
      <c r="Q213" s="161" t="str" cm="1">
        <f t="array" ref="Q213">UPPER(
   "In PLC side, " &amp;
   _xlfn.TEXTJOIN(", ", TRUE,
      H213:INDEX(H213:H224, MATCH("COMMON",P213:P224,0)-2) &amp;
      ": " &amp;
      (I213:INDEX(I213:I224, MATCH("COMMON",P213:P224,0)-2)+1)
   ) &amp;
   " &amp; " &amp;
   INDEX(H213:H224, MATCH("COMMON",P213:P224,0)-1) &amp; ": " &amp;
   INDEX(I213:I224, MATCH("COMMON",P213:P224,0)-1)+1 &amp;
   " are already looped"
)</f>
        <v>IN PLC SIDE, 1T0208: 24, 1T0208: 26, 1T0209: 2, 1T0209: 4, 1T0209: 6, 1T0209: 8, 1T0209: 10, 1T0209: 12, 1T0209: 14 &amp; 1T0209: 16 ARE ALREADY LOOPED</v>
      </c>
    </row>
    <row r="214" spans="2:17" ht="30" customHeight="1" x14ac:dyDescent="0.45">
      <c r="B214" s="87"/>
      <c r="C214" s="159"/>
      <c r="D214" s="89"/>
      <c r="E214" s="67" t="s">
        <v>14</v>
      </c>
      <c r="F214" s="77">
        <v>2</v>
      </c>
      <c r="G214" s="80">
        <v>8</v>
      </c>
      <c r="H214" s="69" t="str">
        <f t="shared" si="35"/>
        <v>1T0208</v>
      </c>
      <c r="I214" s="65">
        <f>I213+2</f>
        <v>25</v>
      </c>
      <c r="J214" s="65" t="str">
        <f t="shared" si="36"/>
        <v>25-1T0208/*-*</v>
      </c>
      <c r="K214" s="65" t="s">
        <v>33</v>
      </c>
      <c r="L214" s="65" t="s">
        <v>33</v>
      </c>
      <c r="M214" s="65" t="str">
        <f t="shared" si="37"/>
        <v>*-*/1T0208-25</v>
      </c>
      <c r="N214" s="159"/>
      <c r="O214" s="159"/>
      <c r="P214" s="75" t="s">
        <v>246</v>
      </c>
      <c r="Q214" s="162"/>
    </row>
    <row r="215" spans="2:17" ht="30" customHeight="1" x14ac:dyDescent="0.45">
      <c r="B215" s="87"/>
      <c r="C215" s="159"/>
      <c r="D215" s="89"/>
      <c r="E215" s="67" t="s">
        <v>15</v>
      </c>
      <c r="F215" s="77">
        <v>2</v>
      </c>
      <c r="G215" s="80">
        <v>9</v>
      </c>
      <c r="H215" s="69" t="str">
        <f t="shared" si="35"/>
        <v>1T0209</v>
      </c>
      <c r="I215" s="65">
        <v>1</v>
      </c>
      <c r="J215" s="65" t="str">
        <f t="shared" si="36"/>
        <v>1-1T0209/*-*</v>
      </c>
      <c r="K215" s="65" t="s">
        <v>33</v>
      </c>
      <c r="L215" s="65" t="s">
        <v>33</v>
      </c>
      <c r="M215" s="65" t="str">
        <f t="shared" si="37"/>
        <v>*-*/1T0209-1</v>
      </c>
      <c r="N215" s="159"/>
      <c r="O215" s="159"/>
      <c r="P215" s="75" t="s">
        <v>247</v>
      </c>
      <c r="Q215" s="162"/>
    </row>
    <row r="216" spans="2:17" ht="30" customHeight="1" x14ac:dyDescent="0.45">
      <c r="B216" s="87"/>
      <c r="C216" s="159"/>
      <c r="D216" s="89"/>
      <c r="E216" s="67" t="s">
        <v>16</v>
      </c>
      <c r="F216" s="77">
        <v>2</v>
      </c>
      <c r="G216" s="80">
        <v>9</v>
      </c>
      <c r="H216" s="69" t="str">
        <f t="shared" si="35"/>
        <v>1T0209</v>
      </c>
      <c r="I216" s="65">
        <f t="shared" ref="I216:I222" si="40">I215+2</f>
        <v>3</v>
      </c>
      <c r="J216" s="65" t="str">
        <f t="shared" si="36"/>
        <v>3-1T0209/*-*</v>
      </c>
      <c r="K216" s="65" t="s">
        <v>33</v>
      </c>
      <c r="L216" s="65" t="s">
        <v>33</v>
      </c>
      <c r="M216" s="65" t="str">
        <f t="shared" si="37"/>
        <v>*-*/1T0209-3</v>
      </c>
      <c r="N216" s="159"/>
      <c r="O216" s="159"/>
      <c r="P216" s="75" t="s">
        <v>248</v>
      </c>
      <c r="Q216" s="162"/>
    </row>
    <row r="217" spans="2:17" ht="30" customHeight="1" x14ac:dyDescent="0.45">
      <c r="B217" s="87"/>
      <c r="C217" s="159"/>
      <c r="D217" s="89"/>
      <c r="E217" s="67" t="s">
        <v>17</v>
      </c>
      <c r="F217" s="77">
        <v>2</v>
      </c>
      <c r="G217" s="80">
        <v>9</v>
      </c>
      <c r="H217" s="69" t="str">
        <f t="shared" si="35"/>
        <v>1T0209</v>
      </c>
      <c r="I217" s="65">
        <f t="shared" si="40"/>
        <v>5</v>
      </c>
      <c r="J217" s="65" t="str">
        <f t="shared" si="36"/>
        <v>5-1T0209/*-*</v>
      </c>
      <c r="K217" s="65" t="s">
        <v>33</v>
      </c>
      <c r="L217" s="65" t="s">
        <v>33</v>
      </c>
      <c r="M217" s="65" t="str">
        <f t="shared" si="37"/>
        <v>*-*/1T0209-5</v>
      </c>
      <c r="N217" s="159"/>
      <c r="O217" s="159"/>
      <c r="P217" s="75" t="s">
        <v>249</v>
      </c>
      <c r="Q217" s="162"/>
    </row>
    <row r="218" spans="2:17" ht="30" customHeight="1" x14ac:dyDescent="0.45">
      <c r="B218" s="87"/>
      <c r="C218" s="159"/>
      <c r="D218" s="89"/>
      <c r="E218" s="67" t="s">
        <v>18</v>
      </c>
      <c r="F218" s="77">
        <v>2</v>
      </c>
      <c r="G218" s="80">
        <v>9</v>
      </c>
      <c r="H218" s="69" t="str">
        <f t="shared" si="35"/>
        <v>1T0209</v>
      </c>
      <c r="I218" s="65">
        <f t="shared" si="40"/>
        <v>7</v>
      </c>
      <c r="J218" s="65" t="str">
        <f t="shared" si="36"/>
        <v>7-1T0209/*-*</v>
      </c>
      <c r="K218" s="65" t="s">
        <v>33</v>
      </c>
      <c r="L218" s="65" t="s">
        <v>33</v>
      </c>
      <c r="M218" s="65" t="str">
        <f t="shared" si="37"/>
        <v>*-*/1T0209-7</v>
      </c>
      <c r="N218" s="159"/>
      <c r="O218" s="159"/>
      <c r="P218" s="75" t="s">
        <v>250</v>
      </c>
      <c r="Q218" s="162"/>
    </row>
    <row r="219" spans="2:17" ht="30" customHeight="1" x14ac:dyDescent="0.45">
      <c r="B219" s="87"/>
      <c r="C219" s="159"/>
      <c r="D219" s="89"/>
      <c r="E219" s="67" t="s">
        <v>19</v>
      </c>
      <c r="F219" s="77">
        <v>2</v>
      </c>
      <c r="G219" s="80">
        <v>9</v>
      </c>
      <c r="H219" s="69" t="str">
        <f t="shared" si="35"/>
        <v>1T0209</v>
      </c>
      <c r="I219" s="65">
        <f t="shared" si="40"/>
        <v>9</v>
      </c>
      <c r="J219" s="65" t="str">
        <f t="shared" si="36"/>
        <v>9-1T0209/*-*</v>
      </c>
      <c r="K219" s="65" t="s">
        <v>33</v>
      </c>
      <c r="L219" s="65" t="s">
        <v>33</v>
      </c>
      <c r="M219" s="65" t="str">
        <f t="shared" si="37"/>
        <v>*-*/1T0209-9</v>
      </c>
      <c r="N219" s="159"/>
      <c r="O219" s="159"/>
      <c r="P219" s="75" t="s">
        <v>251</v>
      </c>
      <c r="Q219" s="162"/>
    </row>
    <row r="220" spans="2:17" ht="30" customHeight="1" x14ac:dyDescent="0.45">
      <c r="B220" s="87"/>
      <c r="C220" s="159"/>
      <c r="D220" s="89"/>
      <c r="E220" s="67" t="s">
        <v>20</v>
      </c>
      <c r="F220" s="77">
        <v>2</v>
      </c>
      <c r="G220" s="80">
        <v>9</v>
      </c>
      <c r="H220" s="69" t="str">
        <f t="shared" si="35"/>
        <v>1T0209</v>
      </c>
      <c r="I220" s="65">
        <f t="shared" si="40"/>
        <v>11</v>
      </c>
      <c r="J220" s="65" t="str">
        <f t="shared" si="36"/>
        <v>11-1T0209/*-*</v>
      </c>
      <c r="K220" s="65" t="s">
        <v>33</v>
      </c>
      <c r="L220" s="65" t="s">
        <v>33</v>
      </c>
      <c r="M220" s="65" t="str">
        <f t="shared" si="37"/>
        <v>*-*/1T0209-11</v>
      </c>
      <c r="N220" s="159"/>
      <c r="O220" s="159"/>
      <c r="P220" s="75" t="s">
        <v>252</v>
      </c>
      <c r="Q220" s="162"/>
    </row>
    <row r="221" spans="2:17" ht="30" customHeight="1" x14ac:dyDescent="0.45">
      <c r="B221" s="87"/>
      <c r="C221" s="159"/>
      <c r="D221" s="89"/>
      <c r="E221" s="67" t="s">
        <v>21</v>
      </c>
      <c r="F221" s="77">
        <v>2</v>
      </c>
      <c r="G221" s="80">
        <v>9</v>
      </c>
      <c r="H221" s="69" t="str">
        <f t="shared" si="35"/>
        <v>1T0209</v>
      </c>
      <c r="I221" s="65">
        <f t="shared" si="40"/>
        <v>13</v>
      </c>
      <c r="J221" s="65" t="str">
        <f t="shared" si="36"/>
        <v>13-1T0209/*-*</v>
      </c>
      <c r="K221" s="65" t="s">
        <v>33</v>
      </c>
      <c r="L221" s="65" t="s">
        <v>33</v>
      </c>
      <c r="M221" s="65" t="str">
        <f t="shared" si="37"/>
        <v>*-*/1T0209-13</v>
      </c>
      <c r="N221" s="159"/>
      <c r="O221" s="159"/>
      <c r="P221" s="75" t="s">
        <v>253</v>
      </c>
      <c r="Q221" s="162"/>
    </row>
    <row r="222" spans="2:17" ht="30" customHeight="1" x14ac:dyDescent="0.45">
      <c r="B222" s="87"/>
      <c r="C222" s="159"/>
      <c r="D222" s="89"/>
      <c r="E222" s="67" t="s">
        <v>30</v>
      </c>
      <c r="F222" s="77">
        <v>2</v>
      </c>
      <c r="G222" s="80">
        <v>9</v>
      </c>
      <c r="H222" s="69" t="str">
        <f t="shared" si="35"/>
        <v>1T0209</v>
      </c>
      <c r="I222" s="65">
        <f t="shared" si="40"/>
        <v>15</v>
      </c>
      <c r="J222" s="65" t="str">
        <f t="shared" si="36"/>
        <v>15-1T0209/*-*</v>
      </c>
      <c r="K222" s="65" t="s">
        <v>33</v>
      </c>
      <c r="L222" s="65" t="s">
        <v>33</v>
      </c>
      <c r="M222" s="65" t="str">
        <f t="shared" si="37"/>
        <v>*-*/1T0209-15</v>
      </c>
      <c r="N222" s="159"/>
      <c r="O222" s="159"/>
      <c r="P222" s="75" t="s">
        <v>254</v>
      </c>
      <c r="Q222" s="162"/>
    </row>
    <row r="223" spans="2:17" ht="30" customHeight="1" x14ac:dyDescent="0.45">
      <c r="B223" s="87"/>
      <c r="C223" s="159"/>
      <c r="D223" s="89"/>
      <c r="E223" s="65" t="s">
        <v>323</v>
      </c>
      <c r="F223" s="77">
        <v>2</v>
      </c>
      <c r="G223" s="80">
        <v>9</v>
      </c>
      <c r="H223" s="69" t="str">
        <f t="shared" si="35"/>
        <v>1T0209</v>
      </c>
      <c r="I223" s="65">
        <f>I222+1</f>
        <v>16</v>
      </c>
      <c r="J223" s="65" t="str">
        <f t="shared" si="36"/>
        <v>16-1T0209/*-*</v>
      </c>
      <c r="K223" s="65" t="s">
        <v>33</v>
      </c>
      <c r="L223" s="65" t="s">
        <v>33</v>
      </c>
      <c r="M223" s="65" t="str">
        <f t="shared" si="37"/>
        <v>*-*/1T0209-16</v>
      </c>
      <c r="N223" s="159"/>
      <c r="O223" s="159"/>
      <c r="P223" s="75" t="s">
        <v>31</v>
      </c>
      <c r="Q223" s="162"/>
    </row>
    <row r="224" spans="2:17" ht="30" customHeight="1" x14ac:dyDescent="0.45">
      <c r="B224" s="87"/>
      <c r="C224" s="159"/>
      <c r="D224" s="89"/>
      <c r="E224" s="65" t="s">
        <v>324</v>
      </c>
      <c r="F224" s="77" t="s">
        <v>45</v>
      </c>
      <c r="G224" s="80" t="s">
        <v>45</v>
      </c>
      <c r="H224" s="69" t="s">
        <v>45</v>
      </c>
      <c r="I224" s="65" t="s">
        <v>45</v>
      </c>
      <c r="J224" s="65" t="s">
        <v>45</v>
      </c>
      <c r="K224" s="65" t="s">
        <v>45</v>
      </c>
      <c r="L224" s="65" t="s">
        <v>45</v>
      </c>
      <c r="M224" s="65" t="s">
        <v>45</v>
      </c>
      <c r="N224" s="159"/>
      <c r="O224" s="159"/>
      <c r="P224" s="75" t="s">
        <v>34</v>
      </c>
      <c r="Q224" s="163"/>
    </row>
    <row r="225" spans="2:17" ht="30" customHeight="1" x14ac:dyDescent="0.45">
      <c r="B225" s="87">
        <f>B213+1</f>
        <v>19</v>
      </c>
      <c r="C225" s="159" t="str">
        <f t="shared" si="39"/>
        <v>6.6KV-HT-I/C-01 - PLC</v>
      </c>
      <c r="D225" s="89" t="s">
        <v>201</v>
      </c>
      <c r="E225" s="67" t="s">
        <v>13</v>
      </c>
      <c r="F225" s="77">
        <v>2</v>
      </c>
      <c r="G225" s="80">
        <v>9</v>
      </c>
      <c r="H225" s="69" t="str">
        <f t="shared" si="35"/>
        <v>1T0209</v>
      </c>
      <c r="I225" s="65">
        <f>I223+1</f>
        <v>17</v>
      </c>
      <c r="J225" s="65" t="str">
        <f t="shared" si="36"/>
        <v>17-1T0209/*-*</v>
      </c>
      <c r="K225" s="65" t="s">
        <v>33</v>
      </c>
      <c r="L225" s="65" t="s">
        <v>33</v>
      </c>
      <c r="M225" s="65" t="str">
        <f t="shared" si="37"/>
        <v>*-*/1T0209-17</v>
      </c>
      <c r="N225" s="159" t="s">
        <v>261</v>
      </c>
      <c r="O225" s="159" t="s">
        <v>260</v>
      </c>
      <c r="P225" s="75" t="s">
        <v>41</v>
      </c>
      <c r="Q225" s="89" t="str" cm="1">
        <f t="array" ref="Q225">UPPER(
   "In PLC side, " &amp;
   _xlfn.TEXTJOIN(", ", TRUE,
      H225:INDEX(H225:H236, MATCH("COMMON",P225:P236,0)-2) &amp;
      ": " &amp;
      (I225:INDEX(I225:I236, MATCH("COMMON",P225:P236,0)-2)+1)
   ) &amp;
   " &amp; " &amp;
   INDEX(H225:H236, MATCH("COMMON",P225:P236,0)-1) &amp; ": " &amp;
   INDEX(I225:I236, MATCH("COMMON",P225:P236,0)-1)+1 &amp;
   " are already looped"
)</f>
        <v>IN PLC SIDE, 1T0209: 18, 1T0209: 20, 1T0209: 22, 1T0209: 24, 1T0209: 26 &amp; 1T0300: 2 ARE ALREADY LOOPED</v>
      </c>
    </row>
    <row r="226" spans="2:17" ht="30" customHeight="1" x14ac:dyDescent="0.45">
      <c r="B226" s="87"/>
      <c r="C226" s="159"/>
      <c r="D226" s="89"/>
      <c r="E226" s="67" t="s">
        <v>14</v>
      </c>
      <c r="F226" s="77">
        <v>2</v>
      </c>
      <c r="G226" s="80">
        <v>9</v>
      </c>
      <c r="H226" s="69" t="str">
        <f t="shared" si="35"/>
        <v>1T0209</v>
      </c>
      <c r="I226" s="65">
        <f>I225+2</f>
        <v>19</v>
      </c>
      <c r="J226" s="65" t="str">
        <f t="shared" si="36"/>
        <v>19-1T0209/*-*</v>
      </c>
      <c r="K226" s="65" t="s">
        <v>33</v>
      </c>
      <c r="L226" s="65" t="s">
        <v>33</v>
      </c>
      <c r="M226" s="65" t="str">
        <f t="shared" si="37"/>
        <v>*-*/1T0209-19</v>
      </c>
      <c r="N226" s="159"/>
      <c r="O226" s="159"/>
      <c r="P226" s="75" t="s">
        <v>42</v>
      </c>
      <c r="Q226" s="89"/>
    </row>
    <row r="227" spans="2:17" ht="30" customHeight="1" x14ac:dyDescent="0.45">
      <c r="B227" s="87"/>
      <c r="C227" s="159"/>
      <c r="D227" s="89"/>
      <c r="E227" s="67" t="s">
        <v>15</v>
      </c>
      <c r="F227" s="77">
        <v>2</v>
      </c>
      <c r="G227" s="80">
        <v>9</v>
      </c>
      <c r="H227" s="69" t="str">
        <f t="shared" si="35"/>
        <v>1T0209</v>
      </c>
      <c r="I227" s="65">
        <f>I226+2</f>
        <v>21</v>
      </c>
      <c r="J227" s="65" t="str">
        <f t="shared" si="36"/>
        <v>21-1T0209/*-*</v>
      </c>
      <c r="K227" s="65" t="s">
        <v>33</v>
      </c>
      <c r="L227" s="65" t="s">
        <v>33</v>
      </c>
      <c r="M227" s="65" t="str">
        <f t="shared" si="37"/>
        <v>*-*/1T0209-21</v>
      </c>
      <c r="N227" s="159"/>
      <c r="O227" s="159"/>
      <c r="P227" s="75" t="s">
        <v>262</v>
      </c>
      <c r="Q227" s="89"/>
    </row>
    <row r="228" spans="2:17" ht="30" customHeight="1" x14ac:dyDescent="0.45">
      <c r="B228" s="87"/>
      <c r="C228" s="159"/>
      <c r="D228" s="89"/>
      <c r="E228" s="67" t="s">
        <v>16</v>
      </c>
      <c r="F228" s="77">
        <v>2</v>
      </c>
      <c r="G228" s="80">
        <v>9</v>
      </c>
      <c r="H228" s="69" t="str">
        <f t="shared" si="35"/>
        <v>1T0209</v>
      </c>
      <c r="I228" s="65">
        <f>I227+2</f>
        <v>23</v>
      </c>
      <c r="J228" s="65" t="str">
        <f t="shared" si="36"/>
        <v>23-1T0209/*-*</v>
      </c>
      <c r="K228" s="65" t="s">
        <v>33</v>
      </c>
      <c r="L228" s="65" t="s">
        <v>33</v>
      </c>
      <c r="M228" s="65" t="str">
        <f t="shared" si="37"/>
        <v>*-*/1T0209-23</v>
      </c>
      <c r="N228" s="159"/>
      <c r="O228" s="159"/>
      <c r="P228" s="75" t="s">
        <v>263</v>
      </c>
      <c r="Q228" s="89"/>
    </row>
    <row r="229" spans="2:17" ht="30" customHeight="1" x14ac:dyDescent="0.45">
      <c r="B229" s="87"/>
      <c r="C229" s="159"/>
      <c r="D229" s="89"/>
      <c r="E229" s="67" t="s">
        <v>17</v>
      </c>
      <c r="F229" s="77">
        <v>2</v>
      </c>
      <c r="G229" s="80">
        <v>9</v>
      </c>
      <c r="H229" s="69" t="str">
        <f t="shared" si="35"/>
        <v>1T0209</v>
      </c>
      <c r="I229" s="65">
        <f>I228+2</f>
        <v>25</v>
      </c>
      <c r="J229" s="65" t="str">
        <f t="shared" si="36"/>
        <v>25-1T0209/*-*</v>
      </c>
      <c r="K229" s="65" t="s">
        <v>33</v>
      </c>
      <c r="L229" s="65" t="s">
        <v>33</v>
      </c>
      <c r="M229" s="65" t="str">
        <f t="shared" si="37"/>
        <v>*-*/1T0209-25</v>
      </c>
      <c r="N229" s="159"/>
      <c r="O229" s="159"/>
      <c r="P229" s="75" t="s">
        <v>266</v>
      </c>
      <c r="Q229" s="89"/>
    </row>
    <row r="230" spans="2:17" ht="30" customHeight="1" x14ac:dyDescent="0.45">
      <c r="B230" s="87"/>
      <c r="C230" s="159"/>
      <c r="D230" s="89"/>
      <c r="E230" s="67" t="s">
        <v>18</v>
      </c>
      <c r="F230" s="77">
        <v>3</v>
      </c>
      <c r="G230" s="80">
        <v>0</v>
      </c>
      <c r="H230" s="69" t="str">
        <f t="shared" si="35"/>
        <v>1T0300</v>
      </c>
      <c r="I230" s="65">
        <v>1</v>
      </c>
      <c r="J230" s="65" t="str">
        <f t="shared" si="36"/>
        <v>1-1T0300/*-*</v>
      </c>
      <c r="K230" s="65" t="s">
        <v>33</v>
      </c>
      <c r="L230" s="65" t="s">
        <v>33</v>
      </c>
      <c r="M230" s="65" t="str">
        <f t="shared" si="37"/>
        <v>*-*/1T0300-1</v>
      </c>
      <c r="N230" s="159"/>
      <c r="O230" s="159"/>
      <c r="P230" s="75" t="s">
        <v>265</v>
      </c>
      <c r="Q230" s="89"/>
    </row>
    <row r="231" spans="2:17" ht="30" customHeight="1" x14ac:dyDescent="0.45">
      <c r="B231" s="87"/>
      <c r="C231" s="159"/>
      <c r="D231" s="89"/>
      <c r="E231" s="67" t="s">
        <v>19</v>
      </c>
      <c r="F231" s="77">
        <v>3</v>
      </c>
      <c r="G231" s="80">
        <v>0</v>
      </c>
      <c r="H231" s="69" t="str">
        <f t="shared" si="35"/>
        <v>1T0300</v>
      </c>
      <c r="I231" s="65">
        <f>I230+1</f>
        <v>2</v>
      </c>
      <c r="J231" s="65" t="str">
        <f t="shared" si="36"/>
        <v>2-1T0300/*-*</v>
      </c>
      <c r="K231" s="65" t="s">
        <v>33</v>
      </c>
      <c r="L231" s="65" t="s">
        <v>33</v>
      </c>
      <c r="M231" s="65" t="str">
        <f t="shared" si="37"/>
        <v>*-*/1T0300-2</v>
      </c>
      <c r="N231" s="159"/>
      <c r="O231" s="159"/>
      <c r="P231" s="75" t="s">
        <v>31</v>
      </c>
      <c r="Q231" s="89"/>
    </row>
    <row r="232" spans="2:17" ht="30" customHeight="1" x14ac:dyDescent="0.45">
      <c r="B232" s="87"/>
      <c r="C232" s="159"/>
      <c r="D232" s="89"/>
      <c r="E232" s="67" t="s">
        <v>20</v>
      </c>
      <c r="F232" s="77">
        <v>4</v>
      </c>
      <c r="G232" s="80">
        <v>6</v>
      </c>
      <c r="H232" s="69" t="str">
        <f t="shared" si="35"/>
        <v>1T0406</v>
      </c>
      <c r="I232" s="65">
        <v>13</v>
      </c>
      <c r="J232" s="65" t="str">
        <f t="shared" si="36"/>
        <v>13-1T0406/*-*</v>
      </c>
      <c r="K232" s="65" t="s">
        <v>33</v>
      </c>
      <c r="L232" s="65" t="s">
        <v>33</v>
      </c>
      <c r="M232" s="65" t="str">
        <f t="shared" si="37"/>
        <v>*-*/1T0406-13</v>
      </c>
      <c r="N232" s="159"/>
      <c r="O232" s="159"/>
      <c r="P232" s="75" t="s">
        <v>225</v>
      </c>
      <c r="Q232" s="161" t="str" cm="1">
        <f t="array" ref="Q232">UPPER(
   "In PLC side, " &amp;
   _xlfn.TEXTJOIN(", ", TRUE,
      H232:INDEX(H232:H241, MATCH("COMMON",P232:P241,0)-2) &amp;
      ": " &amp;
      (I232:INDEX(I232:I241, MATCH("COMMON",P232:P241,0)-2)+1)
   ) &amp;
   " &amp; " &amp;
   INDEX(H232:H241, MATCH("COMMON",P232:P241,0)-1) &amp; ": " &amp;
   INDEX(I232:I241, MATCH("COMMON",P232:P241,0)-1)+1 &amp;
   " are already looped"
)</f>
        <v>IN PLC SIDE, 1T0406: 14 &amp; 1T0406: 16 ARE ALREADY LOOPED</v>
      </c>
    </row>
    <row r="233" spans="2:17" ht="30" customHeight="1" x14ac:dyDescent="0.45">
      <c r="B233" s="87"/>
      <c r="C233" s="159"/>
      <c r="D233" s="89"/>
      <c r="E233" s="67" t="s">
        <v>21</v>
      </c>
      <c r="F233" s="77">
        <v>4</v>
      </c>
      <c r="G233" s="80">
        <v>6</v>
      </c>
      <c r="H233" s="69" t="str">
        <f t="shared" si="35"/>
        <v>1T0406</v>
      </c>
      <c r="I233" s="65">
        <f>I232+2</f>
        <v>15</v>
      </c>
      <c r="J233" s="65" t="str">
        <f t="shared" si="36"/>
        <v>15-1T0406/*-*</v>
      </c>
      <c r="K233" s="65" t="s">
        <v>33</v>
      </c>
      <c r="L233" s="65" t="s">
        <v>33</v>
      </c>
      <c r="M233" s="65" t="str">
        <f t="shared" si="37"/>
        <v>*-*/1T0406-15</v>
      </c>
      <c r="N233" s="159"/>
      <c r="O233" s="159"/>
      <c r="P233" s="75" t="s">
        <v>226</v>
      </c>
      <c r="Q233" s="162"/>
    </row>
    <row r="234" spans="2:17" ht="30" customHeight="1" x14ac:dyDescent="0.45">
      <c r="B234" s="87"/>
      <c r="C234" s="159"/>
      <c r="D234" s="89"/>
      <c r="E234" s="67" t="s">
        <v>30</v>
      </c>
      <c r="F234" s="77">
        <v>4</v>
      </c>
      <c r="G234" s="80">
        <v>6</v>
      </c>
      <c r="H234" s="69" t="str">
        <f t="shared" si="35"/>
        <v>1T0406</v>
      </c>
      <c r="I234" s="65">
        <f>I233+1</f>
        <v>16</v>
      </c>
      <c r="J234" s="65" t="str">
        <f t="shared" si="36"/>
        <v>16-1T0406/*-*</v>
      </c>
      <c r="K234" s="65" t="s">
        <v>33</v>
      </c>
      <c r="L234" s="65" t="s">
        <v>33</v>
      </c>
      <c r="M234" s="65" t="str">
        <f t="shared" si="37"/>
        <v>*-*/1T0406-16</v>
      </c>
      <c r="N234" s="159"/>
      <c r="O234" s="159"/>
      <c r="P234" s="75" t="s">
        <v>31</v>
      </c>
      <c r="Q234" s="162"/>
    </row>
    <row r="235" spans="2:17" ht="30" customHeight="1" x14ac:dyDescent="0.45">
      <c r="B235" s="87"/>
      <c r="C235" s="159"/>
      <c r="D235" s="89"/>
      <c r="E235" s="65" t="s">
        <v>323</v>
      </c>
      <c r="F235" s="77" t="s">
        <v>45</v>
      </c>
      <c r="G235" s="80" t="s">
        <v>45</v>
      </c>
      <c r="H235" s="69" t="s">
        <v>45</v>
      </c>
      <c r="I235" s="65" t="s">
        <v>45</v>
      </c>
      <c r="J235" s="65" t="s">
        <v>45</v>
      </c>
      <c r="K235" s="65" t="s">
        <v>45</v>
      </c>
      <c r="L235" s="65" t="s">
        <v>45</v>
      </c>
      <c r="M235" s="65" t="s">
        <v>45</v>
      </c>
      <c r="N235" s="159"/>
      <c r="O235" s="159"/>
      <c r="P235" s="75" t="s">
        <v>34</v>
      </c>
      <c r="Q235" s="162"/>
    </row>
    <row r="236" spans="2:17" ht="30" customHeight="1" x14ac:dyDescent="0.45">
      <c r="B236" s="87"/>
      <c r="C236" s="159"/>
      <c r="D236" s="89"/>
      <c r="E236" s="65" t="s">
        <v>324</v>
      </c>
      <c r="F236" s="77" t="s">
        <v>45</v>
      </c>
      <c r="G236" s="80" t="s">
        <v>45</v>
      </c>
      <c r="H236" s="69" t="s">
        <v>45</v>
      </c>
      <c r="I236" s="65" t="s">
        <v>45</v>
      </c>
      <c r="J236" s="65" t="s">
        <v>45</v>
      </c>
      <c r="K236" s="65" t="s">
        <v>45</v>
      </c>
      <c r="L236" s="65" t="s">
        <v>45</v>
      </c>
      <c r="M236" s="65" t="s">
        <v>45</v>
      </c>
      <c r="N236" s="159"/>
      <c r="O236" s="159"/>
      <c r="P236" s="75" t="s">
        <v>34</v>
      </c>
      <c r="Q236" s="163"/>
    </row>
    <row r="237" spans="2:17" ht="30" customHeight="1" x14ac:dyDescent="0.45">
      <c r="B237" s="87">
        <f>B225+1</f>
        <v>20</v>
      </c>
      <c r="C237" s="159" t="str">
        <f t="shared" ref="C237" si="41">N237&amp;" - PLC"</f>
        <v>6.6KV-HT-I/C-02 - PLC</v>
      </c>
      <c r="D237" s="89" t="s">
        <v>201</v>
      </c>
      <c r="E237" s="67" t="s">
        <v>13</v>
      </c>
      <c r="F237" s="77">
        <v>3</v>
      </c>
      <c r="G237" s="80">
        <v>0</v>
      </c>
      <c r="H237" s="69" t="str">
        <f t="shared" si="35"/>
        <v>1T0300</v>
      </c>
      <c r="I237" s="65">
        <f>I231+1</f>
        <v>3</v>
      </c>
      <c r="J237" s="65" t="str">
        <f t="shared" si="36"/>
        <v>3-1T0300/*-*</v>
      </c>
      <c r="K237" s="65" t="s">
        <v>33</v>
      </c>
      <c r="L237" s="65" t="s">
        <v>33</v>
      </c>
      <c r="M237" s="65" t="str">
        <f t="shared" si="37"/>
        <v>*-*/1T0300-3</v>
      </c>
      <c r="N237" s="159" t="s">
        <v>267</v>
      </c>
      <c r="O237" s="159" t="s">
        <v>268</v>
      </c>
      <c r="P237" s="75" t="s">
        <v>41</v>
      </c>
      <c r="Q237" s="89" t="str" cm="1">
        <f t="array" ref="Q237">UPPER(
   "In PLC side, " &amp;
   _xlfn.TEXTJOIN(", ", TRUE,
      H237:INDEX(H237:H248, MATCH("COMMON",P237:P248,0)-2) &amp;
      ": " &amp;
      (I237:INDEX(I237:I248, MATCH("COMMON",P237:P248,0)-2)+1)
   ) &amp;
   " &amp; " &amp;
   INDEX(H237:H248, MATCH("COMMON",P237:P248,0)-1) &amp; ": " &amp;
   INDEX(I237:I248, MATCH("COMMON",P237:P248,0)-1)+1 &amp;
   " are already looped"
)</f>
        <v>IN PLC SIDE, 1T0300: 4, 1T0300: 6, 1T0300: 8, 1T0300: 10, 1T0300: 12 &amp; 1T0300: 14 ARE ALREADY LOOPED</v>
      </c>
    </row>
    <row r="238" spans="2:17" ht="30" customHeight="1" x14ac:dyDescent="0.45">
      <c r="B238" s="87"/>
      <c r="C238" s="159"/>
      <c r="D238" s="89"/>
      <c r="E238" s="67" t="s">
        <v>14</v>
      </c>
      <c r="F238" s="77">
        <v>3</v>
      </c>
      <c r="G238" s="80">
        <v>0</v>
      </c>
      <c r="H238" s="69" t="str">
        <f t="shared" si="35"/>
        <v>1T0300</v>
      </c>
      <c r="I238" s="65">
        <f>I237+2</f>
        <v>5</v>
      </c>
      <c r="J238" s="65" t="str">
        <f t="shared" si="36"/>
        <v>5-1T0300/*-*</v>
      </c>
      <c r="K238" s="65" t="s">
        <v>33</v>
      </c>
      <c r="L238" s="65" t="s">
        <v>33</v>
      </c>
      <c r="M238" s="65" t="str">
        <f t="shared" si="37"/>
        <v>*-*/1T0300-5</v>
      </c>
      <c r="N238" s="159"/>
      <c r="O238" s="159"/>
      <c r="P238" s="75" t="s">
        <v>42</v>
      </c>
      <c r="Q238" s="89"/>
    </row>
    <row r="239" spans="2:17" ht="30" customHeight="1" x14ac:dyDescent="0.45">
      <c r="B239" s="87"/>
      <c r="C239" s="159"/>
      <c r="D239" s="89"/>
      <c r="E239" s="67" t="s">
        <v>15</v>
      </c>
      <c r="F239" s="77">
        <v>3</v>
      </c>
      <c r="G239" s="80">
        <v>0</v>
      </c>
      <c r="H239" s="69" t="str">
        <f t="shared" si="35"/>
        <v>1T0300</v>
      </c>
      <c r="I239" s="65">
        <f>I238+2</f>
        <v>7</v>
      </c>
      <c r="J239" s="65" t="str">
        <f t="shared" si="36"/>
        <v>7-1T0300/*-*</v>
      </c>
      <c r="K239" s="65" t="s">
        <v>33</v>
      </c>
      <c r="L239" s="65" t="s">
        <v>33</v>
      </c>
      <c r="M239" s="65" t="str">
        <f t="shared" si="37"/>
        <v>*-*/1T0300-7</v>
      </c>
      <c r="N239" s="159"/>
      <c r="O239" s="159"/>
      <c r="P239" s="75" t="s">
        <v>262</v>
      </c>
      <c r="Q239" s="89"/>
    </row>
    <row r="240" spans="2:17" ht="30" customHeight="1" x14ac:dyDescent="0.45">
      <c r="B240" s="87"/>
      <c r="C240" s="159"/>
      <c r="D240" s="89"/>
      <c r="E240" s="67" t="s">
        <v>16</v>
      </c>
      <c r="F240" s="77">
        <v>3</v>
      </c>
      <c r="G240" s="80">
        <v>0</v>
      </c>
      <c r="H240" s="69" t="str">
        <f t="shared" si="35"/>
        <v>1T0300</v>
      </c>
      <c r="I240" s="65">
        <f>I239+2</f>
        <v>9</v>
      </c>
      <c r="J240" s="65" t="str">
        <f t="shared" si="36"/>
        <v>9-1T0300/*-*</v>
      </c>
      <c r="K240" s="65" t="s">
        <v>33</v>
      </c>
      <c r="L240" s="65" t="s">
        <v>33</v>
      </c>
      <c r="M240" s="65" t="str">
        <f t="shared" si="37"/>
        <v>*-*/1T0300-9</v>
      </c>
      <c r="N240" s="159"/>
      <c r="O240" s="159"/>
      <c r="P240" s="75" t="s">
        <v>263</v>
      </c>
      <c r="Q240" s="89"/>
    </row>
    <row r="241" spans="2:17" ht="30" customHeight="1" x14ac:dyDescent="0.45">
      <c r="B241" s="87"/>
      <c r="C241" s="159"/>
      <c r="D241" s="89"/>
      <c r="E241" s="67" t="s">
        <v>17</v>
      </c>
      <c r="F241" s="77">
        <v>3</v>
      </c>
      <c r="G241" s="80">
        <v>0</v>
      </c>
      <c r="H241" s="69" t="str">
        <f t="shared" si="35"/>
        <v>1T0300</v>
      </c>
      <c r="I241" s="65">
        <f>I240+2</f>
        <v>11</v>
      </c>
      <c r="J241" s="65" t="str">
        <f t="shared" si="36"/>
        <v>11-1T0300/*-*</v>
      </c>
      <c r="K241" s="65" t="s">
        <v>33</v>
      </c>
      <c r="L241" s="65" t="s">
        <v>33</v>
      </c>
      <c r="M241" s="65" t="str">
        <f t="shared" si="37"/>
        <v>*-*/1T0300-11</v>
      </c>
      <c r="N241" s="159"/>
      <c r="O241" s="159"/>
      <c r="P241" s="75" t="s">
        <v>266</v>
      </c>
      <c r="Q241" s="89"/>
    </row>
    <row r="242" spans="2:17" ht="30" customHeight="1" x14ac:dyDescent="0.45">
      <c r="B242" s="87"/>
      <c r="C242" s="159"/>
      <c r="D242" s="89"/>
      <c r="E242" s="67" t="s">
        <v>18</v>
      </c>
      <c r="F242" s="77">
        <v>3</v>
      </c>
      <c r="G242" s="80">
        <v>0</v>
      </c>
      <c r="H242" s="69" t="str">
        <f t="shared" si="35"/>
        <v>1T0300</v>
      </c>
      <c r="I242" s="65">
        <f>I241+2</f>
        <v>13</v>
      </c>
      <c r="J242" s="65" t="str">
        <f t="shared" si="36"/>
        <v>13-1T0300/*-*</v>
      </c>
      <c r="K242" s="65" t="s">
        <v>33</v>
      </c>
      <c r="L242" s="65" t="s">
        <v>33</v>
      </c>
      <c r="M242" s="65" t="str">
        <f t="shared" si="37"/>
        <v>*-*/1T0300-13</v>
      </c>
      <c r="N242" s="159"/>
      <c r="O242" s="159"/>
      <c r="P242" s="75" t="s">
        <v>265</v>
      </c>
      <c r="Q242" s="89"/>
    </row>
    <row r="243" spans="2:17" ht="30" customHeight="1" x14ac:dyDescent="0.45">
      <c r="B243" s="87"/>
      <c r="C243" s="159"/>
      <c r="D243" s="89"/>
      <c r="E243" s="67" t="s">
        <v>19</v>
      </c>
      <c r="F243" s="77">
        <v>3</v>
      </c>
      <c r="G243" s="80">
        <v>0</v>
      </c>
      <c r="H243" s="69" t="str">
        <f t="shared" si="35"/>
        <v>1T0300</v>
      </c>
      <c r="I243" s="65">
        <f>I242+1</f>
        <v>14</v>
      </c>
      <c r="J243" s="65" t="str">
        <f t="shared" si="36"/>
        <v>14-1T0300/*-*</v>
      </c>
      <c r="K243" s="65" t="s">
        <v>33</v>
      </c>
      <c r="L243" s="65" t="s">
        <v>33</v>
      </c>
      <c r="M243" s="65" t="str">
        <f t="shared" si="37"/>
        <v>*-*/1T0300-14</v>
      </c>
      <c r="N243" s="159"/>
      <c r="O243" s="159"/>
      <c r="P243" s="75" t="s">
        <v>31</v>
      </c>
      <c r="Q243" s="89"/>
    </row>
    <row r="244" spans="2:17" ht="30" customHeight="1" x14ac:dyDescent="0.45">
      <c r="B244" s="87"/>
      <c r="C244" s="159"/>
      <c r="D244" s="89"/>
      <c r="E244" s="67" t="s">
        <v>20</v>
      </c>
      <c r="F244" s="77">
        <v>4</v>
      </c>
      <c r="G244" s="80">
        <v>6</v>
      </c>
      <c r="H244" s="69" t="str">
        <f t="shared" si="35"/>
        <v>1T0406</v>
      </c>
      <c r="I244" s="65">
        <v>17</v>
      </c>
      <c r="J244" s="65" t="str">
        <f t="shared" si="36"/>
        <v>17-1T0406/*-*</v>
      </c>
      <c r="K244" s="65" t="s">
        <v>33</v>
      </c>
      <c r="L244" s="65" t="s">
        <v>33</v>
      </c>
      <c r="M244" s="65" t="str">
        <f t="shared" si="37"/>
        <v>*-*/1T0406-17</v>
      </c>
      <c r="N244" s="159"/>
      <c r="O244" s="159"/>
      <c r="P244" s="75" t="s">
        <v>225</v>
      </c>
      <c r="Q244" s="161" t="str" cm="1">
        <f t="array" ref="Q244">UPPER(
   "In PLC side, " &amp;
   _xlfn.TEXTJOIN(", ", TRUE,
      H244:INDEX(H244:H253, MATCH("COMMON",P244:P253,0)-2) &amp;
      ": " &amp;
      (I244:INDEX(I244:I253, MATCH("COMMON",P244:P253,0)-2)+1)
   ) &amp;
   " &amp; " &amp;
   INDEX(H244:H253, MATCH("COMMON",P244:P253,0)-1) &amp; ": " &amp;
   INDEX(I244:I253, MATCH("COMMON",P244:P253,0)-1)+1 &amp;
   " are already looped"
)</f>
        <v>IN PLC SIDE, 1T0406: 18 &amp; 1T0406: 20 ARE ALREADY LOOPED</v>
      </c>
    </row>
    <row r="245" spans="2:17" ht="30" customHeight="1" x14ac:dyDescent="0.45">
      <c r="B245" s="87"/>
      <c r="C245" s="159"/>
      <c r="D245" s="89"/>
      <c r="E245" s="67" t="s">
        <v>21</v>
      </c>
      <c r="F245" s="77">
        <v>4</v>
      </c>
      <c r="G245" s="80">
        <v>6</v>
      </c>
      <c r="H245" s="69" t="str">
        <f t="shared" si="35"/>
        <v>1T0406</v>
      </c>
      <c r="I245" s="65">
        <f>I244+2</f>
        <v>19</v>
      </c>
      <c r="J245" s="65" t="str">
        <f t="shared" si="36"/>
        <v>19-1T0406/*-*</v>
      </c>
      <c r="K245" s="65" t="s">
        <v>33</v>
      </c>
      <c r="L245" s="65" t="s">
        <v>33</v>
      </c>
      <c r="M245" s="65" t="str">
        <f t="shared" si="37"/>
        <v>*-*/1T0406-19</v>
      </c>
      <c r="N245" s="159"/>
      <c r="O245" s="159"/>
      <c r="P245" s="75" t="s">
        <v>226</v>
      </c>
      <c r="Q245" s="162"/>
    </row>
    <row r="246" spans="2:17" ht="30" customHeight="1" x14ac:dyDescent="0.45">
      <c r="B246" s="87"/>
      <c r="C246" s="159"/>
      <c r="D246" s="89"/>
      <c r="E246" s="67" t="s">
        <v>30</v>
      </c>
      <c r="F246" s="77">
        <v>4</v>
      </c>
      <c r="G246" s="80">
        <v>6</v>
      </c>
      <c r="H246" s="69" t="str">
        <f t="shared" si="35"/>
        <v>1T0406</v>
      </c>
      <c r="I246" s="65">
        <f>I245+1</f>
        <v>20</v>
      </c>
      <c r="J246" s="65" t="str">
        <f t="shared" si="36"/>
        <v>20-1T0406/*-*</v>
      </c>
      <c r="K246" s="65" t="s">
        <v>33</v>
      </c>
      <c r="L246" s="65" t="s">
        <v>33</v>
      </c>
      <c r="M246" s="65" t="str">
        <f t="shared" si="37"/>
        <v>*-*/1T0406-20</v>
      </c>
      <c r="N246" s="159"/>
      <c r="O246" s="159"/>
      <c r="P246" s="75" t="s">
        <v>31</v>
      </c>
      <c r="Q246" s="162"/>
    </row>
    <row r="247" spans="2:17" ht="30" customHeight="1" x14ac:dyDescent="0.45">
      <c r="B247" s="87"/>
      <c r="C247" s="159"/>
      <c r="D247" s="89"/>
      <c r="E247" s="65" t="s">
        <v>323</v>
      </c>
      <c r="F247" s="77" t="s">
        <v>45</v>
      </c>
      <c r="G247" s="80" t="s">
        <v>45</v>
      </c>
      <c r="H247" s="69" t="s">
        <v>45</v>
      </c>
      <c r="I247" s="65" t="s">
        <v>45</v>
      </c>
      <c r="J247" s="65" t="s">
        <v>45</v>
      </c>
      <c r="K247" s="65" t="s">
        <v>45</v>
      </c>
      <c r="L247" s="65" t="s">
        <v>45</v>
      </c>
      <c r="M247" s="65" t="s">
        <v>45</v>
      </c>
      <c r="N247" s="159"/>
      <c r="O247" s="159"/>
      <c r="P247" s="75" t="s">
        <v>34</v>
      </c>
      <c r="Q247" s="162"/>
    </row>
    <row r="248" spans="2:17" ht="30" customHeight="1" x14ac:dyDescent="0.45">
      <c r="B248" s="87"/>
      <c r="C248" s="159"/>
      <c r="D248" s="89"/>
      <c r="E248" s="65" t="s">
        <v>324</v>
      </c>
      <c r="F248" s="77" t="s">
        <v>45</v>
      </c>
      <c r="G248" s="80" t="s">
        <v>45</v>
      </c>
      <c r="H248" s="69" t="s">
        <v>45</v>
      </c>
      <c r="I248" s="65" t="s">
        <v>45</v>
      </c>
      <c r="J248" s="65" t="s">
        <v>45</v>
      </c>
      <c r="K248" s="65" t="s">
        <v>45</v>
      </c>
      <c r="L248" s="65" t="s">
        <v>45</v>
      </c>
      <c r="M248" s="65" t="s">
        <v>45</v>
      </c>
      <c r="N248" s="159"/>
      <c r="O248" s="159"/>
      <c r="P248" s="75" t="s">
        <v>34</v>
      </c>
      <c r="Q248" s="163"/>
    </row>
    <row r="249" spans="2:17" ht="30" customHeight="1" x14ac:dyDescent="0.45">
      <c r="B249" s="87">
        <f>B237+1</f>
        <v>21</v>
      </c>
      <c r="C249" s="159" t="str">
        <f t="shared" ref="C249:C261" si="42">N249&amp;" - PLC"</f>
        <v>6.6KV-HT-B/C-03 - PLC</v>
      </c>
      <c r="D249" s="89" t="s">
        <v>201</v>
      </c>
      <c r="E249" s="67" t="s">
        <v>13</v>
      </c>
      <c r="F249" s="77">
        <v>3</v>
      </c>
      <c r="G249" s="80">
        <v>0</v>
      </c>
      <c r="H249" s="69" t="str">
        <f t="shared" si="35"/>
        <v>1T0300</v>
      </c>
      <c r="I249" s="65">
        <f>I243+1</f>
        <v>15</v>
      </c>
      <c r="J249" s="65" t="str">
        <f t="shared" si="36"/>
        <v>15-1T0300/*-*</v>
      </c>
      <c r="K249" s="65" t="s">
        <v>33</v>
      </c>
      <c r="L249" s="65" t="s">
        <v>33</v>
      </c>
      <c r="M249" s="65" t="str">
        <f t="shared" si="37"/>
        <v>*-*/1T0300-15</v>
      </c>
      <c r="N249" s="159" t="s">
        <v>269</v>
      </c>
      <c r="O249" s="159" t="s">
        <v>270</v>
      </c>
      <c r="P249" s="75" t="s">
        <v>41</v>
      </c>
      <c r="Q249" s="89" t="str" cm="1">
        <f t="array" ref="Q249">UPPER(
   "In PLC side, " &amp;
   _xlfn.TEXTJOIN(", ", TRUE,
      H249:INDEX(H249:H260, MATCH("COMMON",P249:P260,0)-2) &amp;
      ": " &amp;
      (I249:INDEX(I249:I260, MATCH("COMMON",P249:P260,0)-2)+1)
   ) &amp;
   " &amp; " &amp;
   INDEX(H249:H260, MATCH("COMMON",P249:P260,0)-1) &amp; ": " &amp;
   INDEX(I249:I260, MATCH("COMMON",P249:P260,0)-1)+1 &amp;
   " are already looped"
)</f>
        <v>IN PLC SIDE, 1T0300: 16, 1T0300: 18, 1T0300: 20, 1T0300: 22, 1T0300: 24 &amp; 1T0300: 26 ARE ALREADY LOOPED</v>
      </c>
    </row>
    <row r="250" spans="2:17" ht="30" customHeight="1" x14ac:dyDescent="0.45">
      <c r="B250" s="87"/>
      <c r="C250" s="159"/>
      <c r="D250" s="89"/>
      <c r="E250" s="67" t="s">
        <v>14</v>
      </c>
      <c r="F250" s="77">
        <v>3</v>
      </c>
      <c r="G250" s="80">
        <v>0</v>
      </c>
      <c r="H250" s="69" t="str">
        <f t="shared" si="35"/>
        <v>1T0300</v>
      </c>
      <c r="I250" s="65">
        <f>I249+2</f>
        <v>17</v>
      </c>
      <c r="J250" s="65" t="str">
        <f t="shared" si="36"/>
        <v>17-1T0300/*-*</v>
      </c>
      <c r="K250" s="65" t="s">
        <v>33</v>
      </c>
      <c r="L250" s="65" t="s">
        <v>33</v>
      </c>
      <c r="M250" s="65" t="str">
        <f t="shared" si="37"/>
        <v>*-*/1T0300-17</v>
      </c>
      <c r="N250" s="159"/>
      <c r="O250" s="159"/>
      <c r="P250" s="75" t="s">
        <v>42</v>
      </c>
      <c r="Q250" s="89"/>
    </row>
    <row r="251" spans="2:17" ht="30" customHeight="1" x14ac:dyDescent="0.45">
      <c r="B251" s="87"/>
      <c r="C251" s="159"/>
      <c r="D251" s="89"/>
      <c r="E251" s="67" t="s">
        <v>15</v>
      </c>
      <c r="F251" s="77">
        <v>3</v>
      </c>
      <c r="G251" s="80">
        <v>0</v>
      </c>
      <c r="H251" s="69" t="str">
        <f t="shared" si="35"/>
        <v>1T0300</v>
      </c>
      <c r="I251" s="65">
        <f>I250+2</f>
        <v>19</v>
      </c>
      <c r="J251" s="65" t="str">
        <f t="shared" si="36"/>
        <v>19-1T0300/*-*</v>
      </c>
      <c r="K251" s="65" t="s">
        <v>33</v>
      </c>
      <c r="L251" s="65" t="s">
        <v>33</v>
      </c>
      <c r="M251" s="65" t="str">
        <f t="shared" si="37"/>
        <v>*-*/1T0300-19</v>
      </c>
      <c r="N251" s="159"/>
      <c r="O251" s="159"/>
      <c r="P251" s="75" t="s">
        <v>262</v>
      </c>
      <c r="Q251" s="89"/>
    </row>
    <row r="252" spans="2:17" ht="30" customHeight="1" x14ac:dyDescent="0.45">
      <c r="B252" s="87"/>
      <c r="C252" s="159"/>
      <c r="D252" s="89"/>
      <c r="E252" s="67" t="s">
        <v>16</v>
      </c>
      <c r="F252" s="77">
        <v>3</v>
      </c>
      <c r="G252" s="80">
        <v>0</v>
      </c>
      <c r="H252" s="69" t="str">
        <f t="shared" si="35"/>
        <v>1T0300</v>
      </c>
      <c r="I252" s="65">
        <f>I251+2</f>
        <v>21</v>
      </c>
      <c r="J252" s="65" t="str">
        <f t="shared" si="36"/>
        <v>21-1T0300/*-*</v>
      </c>
      <c r="K252" s="65" t="s">
        <v>33</v>
      </c>
      <c r="L252" s="65" t="s">
        <v>33</v>
      </c>
      <c r="M252" s="65" t="str">
        <f t="shared" si="37"/>
        <v>*-*/1T0300-21</v>
      </c>
      <c r="N252" s="159"/>
      <c r="O252" s="159"/>
      <c r="P252" s="75" t="s">
        <v>263</v>
      </c>
      <c r="Q252" s="89"/>
    </row>
    <row r="253" spans="2:17" ht="30" customHeight="1" x14ac:dyDescent="0.45">
      <c r="B253" s="87"/>
      <c r="C253" s="159"/>
      <c r="D253" s="89"/>
      <c r="E253" s="67" t="s">
        <v>17</v>
      </c>
      <c r="F253" s="77">
        <v>3</v>
      </c>
      <c r="G253" s="80">
        <v>0</v>
      </c>
      <c r="H253" s="69" t="str">
        <f t="shared" si="35"/>
        <v>1T0300</v>
      </c>
      <c r="I253" s="65">
        <f>I252+2</f>
        <v>23</v>
      </c>
      <c r="J253" s="65" t="str">
        <f t="shared" si="36"/>
        <v>23-1T0300/*-*</v>
      </c>
      <c r="K253" s="65" t="s">
        <v>33</v>
      </c>
      <c r="L253" s="65" t="s">
        <v>33</v>
      </c>
      <c r="M253" s="65" t="str">
        <f t="shared" si="37"/>
        <v>*-*/1T0300-23</v>
      </c>
      <c r="N253" s="159"/>
      <c r="O253" s="159"/>
      <c r="P253" s="75" t="s">
        <v>266</v>
      </c>
      <c r="Q253" s="89"/>
    </row>
    <row r="254" spans="2:17" ht="30" customHeight="1" x14ac:dyDescent="0.45">
      <c r="B254" s="87"/>
      <c r="C254" s="159"/>
      <c r="D254" s="89"/>
      <c r="E254" s="67" t="s">
        <v>18</v>
      </c>
      <c r="F254" s="77">
        <v>3</v>
      </c>
      <c r="G254" s="80">
        <v>0</v>
      </c>
      <c r="H254" s="69" t="str">
        <f t="shared" si="35"/>
        <v>1T0300</v>
      </c>
      <c r="I254" s="65">
        <f>I253+2</f>
        <v>25</v>
      </c>
      <c r="J254" s="65" t="str">
        <f t="shared" si="36"/>
        <v>25-1T0300/*-*</v>
      </c>
      <c r="K254" s="65" t="s">
        <v>33</v>
      </c>
      <c r="L254" s="65" t="s">
        <v>33</v>
      </c>
      <c r="M254" s="65" t="str">
        <f t="shared" si="37"/>
        <v>*-*/1T0300-25</v>
      </c>
      <c r="N254" s="159"/>
      <c r="O254" s="159"/>
      <c r="P254" s="75" t="s">
        <v>265</v>
      </c>
      <c r="Q254" s="89"/>
    </row>
    <row r="255" spans="2:17" ht="30" customHeight="1" x14ac:dyDescent="0.45">
      <c r="B255" s="87"/>
      <c r="C255" s="159"/>
      <c r="D255" s="89"/>
      <c r="E255" s="67" t="s">
        <v>19</v>
      </c>
      <c r="F255" s="77">
        <v>3</v>
      </c>
      <c r="G255" s="80">
        <v>0</v>
      </c>
      <c r="H255" s="69" t="str">
        <f t="shared" si="35"/>
        <v>1T0300</v>
      </c>
      <c r="I255" s="65">
        <f>I254+1</f>
        <v>26</v>
      </c>
      <c r="J255" s="65" t="str">
        <f t="shared" si="36"/>
        <v>26-1T0300/*-*</v>
      </c>
      <c r="K255" s="65" t="s">
        <v>33</v>
      </c>
      <c r="L255" s="65" t="s">
        <v>33</v>
      </c>
      <c r="M255" s="65" t="str">
        <f t="shared" si="37"/>
        <v>*-*/1T0300-26</v>
      </c>
      <c r="N255" s="159"/>
      <c r="O255" s="159"/>
      <c r="P255" s="75" t="s">
        <v>31</v>
      </c>
      <c r="Q255" s="89"/>
    </row>
    <row r="256" spans="2:17" ht="30" customHeight="1" x14ac:dyDescent="0.45">
      <c r="B256" s="87"/>
      <c r="C256" s="159"/>
      <c r="D256" s="89"/>
      <c r="E256" s="67" t="s">
        <v>20</v>
      </c>
      <c r="F256" s="77">
        <v>4</v>
      </c>
      <c r="G256" s="80">
        <v>6</v>
      </c>
      <c r="H256" s="69" t="str">
        <f t="shared" si="35"/>
        <v>1T0406</v>
      </c>
      <c r="I256" s="65">
        <v>21</v>
      </c>
      <c r="J256" s="65" t="str">
        <f t="shared" si="36"/>
        <v>21-1T0406/*-*</v>
      </c>
      <c r="K256" s="65" t="s">
        <v>33</v>
      </c>
      <c r="L256" s="65" t="s">
        <v>33</v>
      </c>
      <c r="M256" s="65" t="str">
        <f t="shared" si="37"/>
        <v>*-*/1T0406-21</v>
      </c>
      <c r="N256" s="159"/>
      <c r="O256" s="159"/>
      <c r="P256" s="75" t="s">
        <v>225</v>
      </c>
      <c r="Q256" s="161" t="str" cm="1">
        <f t="array" ref="Q256">UPPER(
   "In PLC side, " &amp;
   _xlfn.TEXTJOIN(", ", TRUE,
      H256:INDEX(H256:H265, MATCH("COMMON",P256:P265,0)-2) &amp;
      ": " &amp;
      (I256:INDEX(I256:I265, MATCH("COMMON",P256:P265,0)-2)+1)
   ) &amp;
   " &amp; " &amp;
   INDEX(H256:H265, MATCH("COMMON",P256:P265,0)-1) &amp; ": " &amp;
   INDEX(I256:I265, MATCH("COMMON",P256:P265,0)-1)+1 &amp;
   " are already looped"
)</f>
        <v>IN PLC SIDE, 1T0406: 22 &amp; 1T0406: 24 ARE ALREADY LOOPED</v>
      </c>
    </row>
    <row r="257" spans="2:17" ht="30" customHeight="1" x14ac:dyDescent="0.45">
      <c r="B257" s="87"/>
      <c r="C257" s="159"/>
      <c r="D257" s="89"/>
      <c r="E257" s="67" t="s">
        <v>21</v>
      </c>
      <c r="F257" s="77">
        <v>4</v>
      </c>
      <c r="G257" s="80">
        <v>6</v>
      </c>
      <c r="H257" s="69" t="str">
        <f t="shared" si="35"/>
        <v>1T0406</v>
      </c>
      <c r="I257" s="65">
        <f>I256+2</f>
        <v>23</v>
      </c>
      <c r="J257" s="65" t="str">
        <f t="shared" si="36"/>
        <v>23-1T0406/*-*</v>
      </c>
      <c r="K257" s="65" t="s">
        <v>33</v>
      </c>
      <c r="L257" s="65" t="s">
        <v>33</v>
      </c>
      <c r="M257" s="65" t="str">
        <f t="shared" si="37"/>
        <v>*-*/1T0406-23</v>
      </c>
      <c r="N257" s="159"/>
      <c r="O257" s="159"/>
      <c r="P257" s="75" t="s">
        <v>226</v>
      </c>
      <c r="Q257" s="162"/>
    </row>
    <row r="258" spans="2:17" ht="30" customHeight="1" x14ac:dyDescent="0.45">
      <c r="B258" s="87"/>
      <c r="C258" s="159"/>
      <c r="D258" s="89"/>
      <c r="E258" s="67" t="s">
        <v>30</v>
      </c>
      <c r="F258" s="77">
        <v>4</v>
      </c>
      <c r="G258" s="80">
        <v>6</v>
      </c>
      <c r="H258" s="69" t="str">
        <f t="shared" si="35"/>
        <v>1T0406</v>
      </c>
      <c r="I258" s="65">
        <f>I257+1</f>
        <v>24</v>
      </c>
      <c r="J258" s="65" t="str">
        <f t="shared" si="36"/>
        <v>24-1T0406/*-*</v>
      </c>
      <c r="K258" s="65" t="s">
        <v>33</v>
      </c>
      <c r="L258" s="65" t="s">
        <v>33</v>
      </c>
      <c r="M258" s="65" t="str">
        <f t="shared" si="37"/>
        <v>*-*/1T0406-24</v>
      </c>
      <c r="N258" s="159"/>
      <c r="O258" s="159"/>
      <c r="P258" s="75" t="s">
        <v>31</v>
      </c>
      <c r="Q258" s="162"/>
    </row>
    <row r="259" spans="2:17" ht="30" customHeight="1" x14ac:dyDescent="0.45">
      <c r="B259" s="87"/>
      <c r="C259" s="159"/>
      <c r="D259" s="89"/>
      <c r="E259" s="65" t="s">
        <v>323</v>
      </c>
      <c r="F259" s="77" t="s">
        <v>45</v>
      </c>
      <c r="G259" s="80" t="s">
        <v>45</v>
      </c>
      <c r="H259" s="69" t="s">
        <v>45</v>
      </c>
      <c r="I259" s="65" t="s">
        <v>45</v>
      </c>
      <c r="J259" s="65" t="s">
        <v>45</v>
      </c>
      <c r="K259" s="65" t="s">
        <v>45</v>
      </c>
      <c r="L259" s="65" t="s">
        <v>45</v>
      </c>
      <c r="M259" s="65" t="s">
        <v>45</v>
      </c>
      <c r="N259" s="159"/>
      <c r="O259" s="159"/>
      <c r="P259" s="75" t="s">
        <v>34</v>
      </c>
      <c r="Q259" s="162"/>
    </row>
    <row r="260" spans="2:17" ht="30" customHeight="1" x14ac:dyDescent="0.45">
      <c r="B260" s="87"/>
      <c r="C260" s="159"/>
      <c r="D260" s="89"/>
      <c r="E260" s="65" t="s">
        <v>324</v>
      </c>
      <c r="F260" s="77" t="s">
        <v>45</v>
      </c>
      <c r="G260" s="80" t="s">
        <v>45</v>
      </c>
      <c r="H260" s="69" t="s">
        <v>45</v>
      </c>
      <c r="I260" s="65" t="s">
        <v>45</v>
      </c>
      <c r="J260" s="65" t="s">
        <v>45</v>
      </c>
      <c r="K260" s="65" t="s">
        <v>45</v>
      </c>
      <c r="L260" s="65" t="s">
        <v>45</v>
      </c>
      <c r="M260" s="65" t="s">
        <v>45</v>
      </c>
      <c r="N260" s="159"/>
      <c r="O260" s="159"/>
      <c r="P260" s="75" t="s">
        <v>34</v>
      </c>
      <c r="Q260" s="163"/>
    </row>
    <row r="261" spans="2:17" ht="30" customHeight="1" x14ac:dyDescent="0.45">
      <c r="B261" s="87">
        <f>B249+1</f>
        <v>22</v>
      </c>
      <c r="C261" s="159" t="str">
        <f t="shared" si="42"/>
        <v>6.6/0.433KV-T/R-I/C-01 - PLC</v>
      </c>
      <c r="D261" s="89" t="s">
        <v>201</v>
      </c>
      <c r="E261" s="67" t="s">
        <v>13</v>
      </c>
      <c r="F261" s="77">
        <v>3</v>
      </c>
      <c r="G261" s="80">
        <v>1</v>
      </c>
      <c r="H261" s="69" t="str">
        <f t="shared" si="35"/>
        <v>1T0301</v>
      </c>
      <c r="I261" s="65">
        <v>1</v>
      </c>
      <c r="J261" s="65" t="str">
        <f t="shared" si="36"/>
        <v>1-1T0301/*-*</v>
      </c>
      <c r="K261" s="65" t="s">
        <v>33</v>
      </c>
      <c r="L261" s="65" t="s">
        <v>33</v>
      </c>
      <c r="M261" s="65" t="str">
        <f t="shared" si="37"/>
        <v>*-*/1T0301-1</v>
      </c>
      <c r="N261" s="159" t="s">
        <v>271</v>
      </c>
      <c r="O261" s="159" t="s">
        <v>272</v>
      </c>
      <c r="P261" s="75" t="s">
        <v>41</v>
      </c>
      <c r="Q261" s="89" t="str" cm="1">
        <f t="array" ref="Q261">UPPER(
   "In PLC side, " &amp;
   _xlfn.TEXTJOIN(", ", TRUE,
      H261:INDEX(H261:H272, MATCH("COMMON",P261:P272,0)-2) &amp;
      ": " &amp;
      (I261:INDEX(I261:I272, MATCH("COMMON",P261:P272,0)-2)+1)
   ) &amp;
   " &amp; " &amp;
   INDEX(H261:H272, MATCH("COMMON",P261:P272,0)-1) &amp; ": " &amp;
   INDEX(I261:I272, MATCH("COMMON",P261:P272,0)-1)+1 &amp;
   " are already looped"
)</f>
        <v>IN PLC SIDE, 1T0301: 2, 1T0301: 4, 1T0301: 6, 1T0301: 8, 1T0301: 10 &amp; 1T0301: 12 ARE ALREADY LOOPED</v>
      </c>
    </row>
    <row r="262" spans="2:17" ht="30" customHeight="1" x14ac:dyDescent="0.45">
      <c r="B262" s="87"/>
      <c r="C262" s="159"/>
      <c r="D262" s="89"/>
      <c r="E262" s="67" t="s">
        <v>14</v>
      </c>
      <c r="F262" s="77">
        <v>3</v>
      </c>
      <c r="G262" s="80">
        <v>1</v>
      </c>
      <c r="H262" s="69" t="str">
        <f t="shared" si="35"/>
        <v>1T0301</v>
      </c>
      <c r="I262" s="65">
        <f>I261+2</f>
        <v>3</v>
      </c>
      <c r="J262" s="65" t="str">
        <f t="shared" si="36"/>
        <v>3-1T0301/*-*</v>
      </c>
      <c r="K262" s="65" t="s">
        <v>33</v>
      </c>
      <c r="L262" s="65" t="s">
        <v>33</v>
      </c>
      <c r="M262" s="65" t="str">
        <f t="shared" si="37"/>
        <v>*-*/1T0301-3</v>
      </c>
      <c r="N262" s="159"/>
      <c r="O262" s="159"/>
      <c r="P262" s="75" t="s">
        <v>42</v>
      </c>
      <c r="Q262" s="89"/>
    </row>
    <row r="263" spans="2:17" ht="30" customHeight="1" x14ac:dyDescent="0.45">
      <c r="B263" s="87"/>
      <c r="C263" s="159"/>
      <c r="D263" s="89"/>
      <c r="E263" s="67" t="s">
        <v>15</v>
      </c>
      <c r="F263" s="77">
        <v>3</v>
      </c>
      <c r="G263" s="80">
        <v>1</v>
      </c>
      <c r="H263" s="69" t="str">
        <f t="shared" si="35"/>
        <v>1T0301</v>
      </c>
      <c r="I263" s="65">
        <f>I262+2</f>
        <v>5</v>
      </c>
      <c r="J263" s="65" t="str">
        <f t="shared" si="36"/>
        <v>5-1T0301/*-*</v>
      </c>
      <c r="K263" s="65" t="s">
        <v>33</v>
      </c>
      <c r="L263" s="65" t="s">
        <v>33</v>
      </c>
      <c r="M263" s="65" t="str">
        <f t="shared" si="37"/>
        <v>*-*/1T0301-5</v>
      </c>
      <c r="N263" s="159"/>
      <c r="O263" s="159"/>
      <c r="P263" s="75" t="s">
        <v>262</v>
      </c>
      <c r="Q263" s="89"/>
    </row>
    <row r="264" spans="2:17" ht="30" customHeight="1" x14ac:dyDescent="0.45">
      <c r="B264" s="87"/>
      <c r="C264" s="159"/>
      <c r="D264" s="89"/>
      <c r="E264" s="67" t="s">
        <v>16</v>
      </c>
      <c r="F264" s="77">
        <v>3</v>
      </c>
      <c r="G264" s="80">
        <v>1</v>
      </c>
      <c r="H264" s="69" t="str">
        <f t="shared" si="35"/>
        <v>1T0301</v>
      </c>
      <c r="I264" s="65">
        <f>I263+2</f>
        <v>7</v>
      </c>
      <c r="J264" s="65" t="str">
        <f t="shared" si="36"/>
        <v>7-1T0301/*-*</v>
      </c>
      <c r="K264" s="65" t="s">
        <v>33</v>
      </c>
      <c r="L264" s="65" t="s">
        <v>33</v>
      </c>
      <c r="M264" s="65" t="str">
        <f t="shared" si="37"/>
        <v>*-*/1T0301-7</v>
      </c>
      <c r="N264" s="159"/>
      <c r="O264" s="159"/>
      <c r="P264" s="75" t="s">
        <v>263</v>
      </c>
      <c r="Q264" s="89"/>
    </row>
    <row r="265" spans="2:17" ht="30" customHeight="1" x14ac:dyDescent="0.45">
      <c r="B265" s="87"/>
      <c r="C265" s="159"/>
      <c r="D265" s="89"/>
      <c r="E265" s="67" t="s">
        <v>17</v>
      </c>
      <c r="F265" s="77">
        <v>3</v>
      </c>
      <c r="G265" s="80">
        <v>1</v>
      </c>
      <c r="H265" s="69" t="str">
        <f t="shared" ref="H265:H328" si="43">"1T"&amp;TEXT(F265,"00")&amp;TEXT(G265,"00")</f>
        <v>1T0301</v>
      </c>
      <c r="I265" s="65">
        <f>I264+2</f>
        <v>9</v>
      </c>
      <c r="J265" s="65" t="str">
        <f t="shared" ref="J265:J328" si="44">CONCATENATE(I265,"-",H265,"/",K265,"-",L265)</f>
        <v>9-1T0301/*-*</v>
      </c>
      <c r="K265" s="65" t="s">
        <v>33</v>
      </c>
      <c r="L265" s="65" t="s">
        <v>33</v>
      </c>
      <c r="M265" s="65" t="str">
        <f t="shared" ref="M265:M328" si="45">CONCATENATE(L265,"-",K265,"/",H265,"-",I265)</f>
        <v>*-*/1T0301-9</v>
      </c>
      <c r="N265" s="159"/>
      <c r="O265" s="159"/>
      <c r="P265" s="75" t="s">
        <v>266</v>
      </c>
      <c r="Q265" s="89"/>
    </row>
    <row r="266" spans="2:17" ht="30" customHeight="1" x14ac:dyDescent="0.45">
      <c r="B266" s="87"/>
      <c r="C266" s="159"/>
      <c r="D266" s="89"/>
      <c r="E266" s="67" t="s">
        <v>18</v>
      </c>
      <c r="F266" s="77">
        <v>3</v>
      </c>
      <c r="G266" s="80">
        <v>1</v>
      </c>
      <c r="H266" s="69" t="str">
        <f t="shared" si="43"/>
        <v>1T0301</v>
      </c>
      <c r="I266" s="65">
        <f>I265+2</f>
        <v>11</v>
      </c>
      <c r="J266" s="65" t="str">
        <f t="shared" si="44"/>
        <v>11-1T0301/*-*</v>
      </c>
      <c r="K266" s="65" t="s">
        <v>33</v>
      </c>
      <c r="L266" s="65" t="s">
        <v>33</v>
      </c>
      <c r="M266" s="65" t="str">
        <f t="shared" si="45"/>
        <v>*-*/1T0301-11</v>
      </c>
      <c r="N266" s="159"/>
      <c r="O266" s="159"/>
      <c r="P266" s="75" t="s">
        <v>265</v>
      </c>
      <c r="Q266" s="89"/>
    </row>
    <row r="267" spans="2:17" ht="30" customHeight="1" x14ac:dyDescent="0.45">
      <c r="B267" s="87"/>
      <c r="C267" s="159"/>
      <c r="D267" s="89"/>
      <c r="E267" s="67" t="s">
        <v>19</v>
      </c>
      <c r="F267" s="77">
        <v>3</v>
      </c>
      <c r="G267" s="80">
        <v>1</v>
      </c>
      <c r="H267" s="69" t="str">
        <f t="shared" si="43"/>
        <v>1T0301</v>
      </c>
      <c r="I267" s="65">
        <f>I266+1</f>
        <v>12</v>
      </c>
      <c r="J267" s="65" t="str">
        <f t="shared" si="44"/>
        <v>12-1T0301/*-*</v>
      </c>
      <c r="K267" s="65" t="s">
        <v>33</v>
      </c>
      <c r="L267" s="65" t="s">
        <v>33</v>
      </c>
      <c r="M267" s="65" t="str">
        <f t="shared" si="45"/>
        <v>*-*/1T0301-12</v>
      </c>
      <c r="N267" s="159"/>
      <c r="O267" s="159"/>
      <c r="P267" s="75" t="s">
        <v>31</v>
      </c>
      <c r="Q267" s="89"/>
    </row>
    <row r="268" spans="2:17" ht="30" customHeight="1" x14ac:dyDescent="0.45">
      <c r="B268" s="87"/>
      <c r="C268" s="159"/>
      <c r="D268" s="89"/>
      <c r="E268" s="67" t="s">
        <v>20</v>
      </c>
      <c r="F268" s="77">
        <v>4</v>
      </c>
      <c r="G268" s="80">
        <v>6</v>
      </c>
      <c r="H268" s="69" t="str">
        <f t="shared" si="43"/>
        <v>1T0406</v>
      </c>
      <c r="I268" s="65">
        <v>25</v>
      </c>
      <c r="J268" s="65" t="str">
        <f t="shared" si="44"/>
        <v>25-1T0406/*-*</v>
      </c>
      <c r="K268" s="65" t="s">
        <v>33</v>
      </c>
      <c r="L268" s="65" t="s">
        <v>33</v>
      </c>
      <c r="M268" s="65" t="str">
        <f t="shared" si="45"/>
        <v>*-*/1T0406-25</v>
      </c>
      <c r="N268" s="159"/>
      <c r="O268" s="159"/>
      <c r="P268" s="75" t="s">
        <v>225</v>
      </c>
      <c r="Q268" s="161" t="str" cm="1">
        <f t="array" ref="Q268">UPPER(
   "In PLC side, " &amp;
   _xlfn.TEXTJOIN(", ", TRUE,
      H268:INDEX(H268:H277, MATCH("COMMON",P268:P277,0)-2) &amp;
      ": " &amp;
      (I268:INDEX(I268:I277, MATCH("COMMON",P268:P277,0)-2)+1)
   ) &amp;
   " &amp; " &amp;
   INDEX(H268:H277, MATCH("COMMON",P268:P277,0)-1) &amp; ": " &amp;
   INDEX(I268:I277, MATCH("COMMON",P268:P277,0)-1)+1 &amp;
   " are already looped"
)</f>
        <v>IN PLC SIDE, 1T0406: 26 &amp; 1T0407: 2 ARE ALREADY LOOPED</v>
      </c>
    </row>
    <row r="269" spans="2:17" ht="30" customHeight="1" x14ac:dyDescent="0.45">
      <c r="B269" s="87"/>
      <c r="C269" s="159"/>
      <c r="D269" s="89"/>
      <c r="E269" s="67" t="s">
        <v>21</v>
      </c>
      <c r="F269" s="77">
        <v>4</v>
      </c>
      <c r="G269" s="80">
        <v>7</v>
      </c>
      <c r="H269" s="69" t="str">
        <f t="shared" si="43"/>
        <v>1T0407</v>
      </c>
      <c r="I269" s="65">
        <v>1</v>
      </c>
      <c r="J269" s="65" t="str">
        <f t="shared" si="44"/>
        <v>1-1T0407/*-*</v>
      </c>
      <c r="K269" s="65" t="s">
        <v>33</v>
      </c>
      <c r="L269" s="65" t="s">
        <v>33</v>
      </c>
      <c r="M269" s="65" t="str">
        <f t="shared" si="45"/>
        <v>*-*/1T0407-1</v>
      </c>
      <c r="N269" s="159"/>
      <c r="O269" s="159"/>
      <c r="P269" s="75" t="s">
        <v>226</v>
      </c>
      <c r="Q269" s="162"/>
    </row>
    <row r="270" spans="2:17" ht="30" customHeight="1" x14ac:dyDescent="0.45">
      <c r="B270" s="87"/>
      <c r="C270" s="159"/>
      <c r="D270" s="89"/>
      <c r="E270" s="67" t="s">
        <v>30</v>
      </c>
      <c r="F270" s="77">
        <v>4</v>
      </c>
      <c r="G270" s="80">
        <v>7</v>
      </c>
      <c r="H270" s="69" t="str">
        <f t="shared" si="43"/>
        <v>1T0407</v>
      </c>
      <c r="I270" s="65">
        <f>I269+1</f>
        <v>2</v>
      </c>
      <c r="J270" s="65" t="str">
        <f t="shared" si="44"/>
        <v>2-1T0407/*-*</v>
      </c>
      <c r="K270" s="65" t="s">
        <v>33</v>
      </c>
      <c r="L270" s="65" t="s">
        <v>33</v>
      </c>
      <c r="M270" s="65" t="str">
        <f t="shared" si="45"/>
        <v>*-*/1T0407-2</v>
      </c>
      <c r="N270" s="159"/>
      <c r="O270" s="159"/>
      <c r="P270" s="75" t="s">
        <v>31</v>
      </c>
      <c r="Q270" s="162"/>
    </row>
    <row r="271" spans="2:17" ht="30" customHeight="1" x14ac:dyDescent="0.45">
      <c r="B271" s="87"/>
      <c r="C271" s="159"/>
      <c r="D271" s="89"/>
      <c r="E271" s="65" t="s">
        <v>323</v>
      </c>
      <c r="F271" s="77" t="s">
        <v>45</v>
      </c>
      <c r="G271" s="80" t="s">
        <v>45</v>
      </c>
      <c r="H271" s="69" t="s">
        <v>45</v>
      </c>
      <c r="I271" s="65" t="s">
        <v>45</v>
      </c>
      <c r="J271" s="65" t="s">
        <v>45</v>
      </c>
      <c r="K271" s="65" t="s">
        <v>45</v>
      </c>
      <c r="L271" s="65" t="s">
        <v>45</v>
      </c>
      <c r="M271" s="65" t="s">
        <v>45</v>
      </c>
      <c r="N271" s="159"/>
      <c r="O271" s="159"/>
      <c r="P271" s="75" t="s">
        <v>34</v>
      </c>
      <c r="Q271" s="162"/>
    </row>
    <row r="272" spans="2:17" ht="30" customHeight="1" x14ac:dyDescent="0.45">
      <c r="B272" s="87"/>
      <c r="C272" s="159"/>
      <c r="D272" s="89"/>
      <c r="E272" s="65" t="s">
        <v>324</v>
      </c>
      <c r="F272" s="77" t="s">
        <v>45</v>
      </c>
      <c r="G272" s="80" t="s">
        <v>45</v>
      </c>
      <c r="H272" s="69" t="s">
        <v>45</v>
      </c>
      <c r="I272" s="65" t="s">
        <v>45</v>
      </c>
      <c r="J272" s="65" t="s">
        <v>45</v>
      </c>
      <c r="K272" s="65" t="s">
        <v>45</v>
      </c>
      <c r="L272" s="65" t="s">
        <v>45</v>
      </c>
      <c r="M272" s="65" t="s">
        <v>45</v>
      </c>
      <c r="N272" s="159"/>
      <c r="O272" s="159"/>
      <c r="P272" s="75" t="s">
        <v>34</v>
      </c>
      <c r="Q272" s="163"/>
    </row>
    <row r="273" spans="2:17" ht="30" customHeight="1" x14ac:dyDescent="0.45">
      <c r="B273" s="87">
        <f>B261+1</f>
        <v>23</v>
      </c>
      <c r="C273" s="159" t="str">
        <f>N273&amp;" - PLC"</f>
        <v>6.6/0.433KV-T/R-I/C-02 - PLC</v>
      </c>
      <c r="D273" s="89" t="s">
        <v>201</v>
      </c>
      <c r="E273" s="67" t="s">
        <v>13</v>
      </c>
      <c r="F273" s="77">
        <v>3</v>
      </c>
      <c r="G273" s="80">
        <v>1</v>
      </c>
      <c r="H273" s="69" t="str">
        <f t="shared" si="43"/>
        <v>1T0301</v>
      </c>
      <c r="I273" s="65">
        <f>I267+1</f>
        <v>13</v>
      </c>
      <c r="J273" s="65" t="str">
        <f t="shared" si="44"/>
        <v>13-1T0301/*-*</v>
      </c>
      <c r="K273" s="65" t="s">
        <v>33</v>
      </c>
      <c r="L273" s="65" t="s">
        <v>33</v>
      </c>
      <c r="M273" s="65" t="str">
        <f t="shared" si="45"/>
        <v>*-*/1T0301-13</v>
      </c>
      <c r="N273" s="159" t="s">
        <v>273</v>
      </c>
      <c r="O273" s="159" t="s">
        <v>274</v>
      </c>
      <c r="P273" s="75" t="s">
        <v>41</v>
      </c>
      <c r="Q273" s="89" t="str" cm="1">
        <f t="array" ref="Q273">UPPER(
   "In PLC side, " &amp;
   _xlfn.TEXTJOIN(", ", TRUE,
      H273:INDEX(H273:H284, MATCH("COMMON",P273:P284,0)-2) &amp;
      ": " &amp;
      (I273:INDEX(I273:I284, MATCH("COMMON",P273:P284,0)-2)+1)
   ) &amp;
   " &amp; " &amp;
   INDEX(H273:H284, MATCH("COMMON",P273:P284,0)-1) &amp; ": " &amp;
   INDEX(I273:I284, MATCH("COMMON",P273:P284,0)-1)+1 &amp;
   " are already looped"
)</f>
        <v>IN PLC SIDE, 1T0301: 14, 1T0301: 16, 1T0301: 18, 1T0301: 20, 1T0301: 22 &amp; 1T0301: 24 ARE ALREADY LOOPED</v>
      </c>
    </row>
    <row r="274" spans="2:17" ht="30" customHeight="1" x14ac:dyDescent="0.45">
      <c r="B274" s="87"/>
      <c r="C274" s="159"/>
      <c r="D274" s="89"/>
      <c r="E274" s="67" t="s">
        <v>14</v>
      </c>
      <c r="F274" s="77">
        <v>3</v>
      </c>
      <c r="G274" s="80">
        <v>1</v>
      </c>
      <c r="H274" s="69" t="str">
        <f t="shared" si="43"/>
        <v>1T0301</v>
      </c>
      <c r="I274" s="65">
        <f>I273+2</f>
        <v>15</v>
      </c>
      <c r="J274" s="65" t="str">
        <f t="shared" si="44"/>
        <v>15-1T0301/*-*</v>
      </c>
      <c r="K274" s="65" t="s">
        <v>33</v>
      </c>
      <c r="L274" s="65" t="s">
        <v>33</v>
      </c>
      <c r="M274" s="65" t="str">
        <f t="shared" si="45"/>
        <v>*-*/1T0301-15</v>
      </c>
      <c r="N274" s="159"/>
      <c r="O274" s="159"/>
      <c r="P274" s="75" t="s">
        <v>42</v>
      </c>
      <c r="Q274" s="89"/>
    </row>
    <row r="275" spans="2:17" ht="30" customHeight="1" x14ac:dyDescent="0.45">
      <c r="B275" s="87"/>
      <c r="C275" s="159"/>
      <c r="D275" s="89"/>
      <c r="E275" s="67" t="s">
        <v>15</v>
      </c>
      <c r="F275" s="77">
        <v>3</v>
      </c>
      <c r="G275" s="80">
        <v>1</v>
      </c>
      <c r="H275" s="69" t="str">
        <f t="shared" si="43"/>
        <v>1T0301</v>
      </c>
      <c r="I275" s="65">
        <f>I274+2</f>
        <v>17</v>
      </c>
      <c r="J275" s="65" t="str">
        <f t="shared" si="44"/>
        <v>17-1T0301/*-*</v>
      </c>
      <c r="K275" s="65" t="s">
        <v>33</v>
      </c>
      <c r="L275" s="65" t="s">
        <v>33</v>
      </c>
      <c r="M275" s="65" t="str">
        <f t="shared" si="45"/>
        <v>*-*/1T0301-17</v>
      </c>
      <c r="N275" s="159"/>
      <c r="O275" s="159"/>
      <c r="P275" s="75" t="s">
        <v>262</v>
      </c>
      <c r="Q275" s="89"/>
    </row>
    <row r="276" spans="2:17" ht="30" customHeight="1" x14ac:dyDescent="0.45">
      <c r="B276" s="87"/>
      <c r="C276" s="159"/>
      <c r="D276" s="89"/>
      <c r="E276" s="67" t="s">
        <v>16</v>
      </c>
      <c r="F276" s="77">
        <v>3</v>
      </c>
      <c r="G276" s="80">
        <v>1</v>
      </c>
      <c r="H276" s="69" t="str">
        <f t="shared" si="43"/>
        <v>1T0301</v>
      </c>
      <c r="I276" s="65">
        <f>I275+2</f>
        <v>19</v>
      </c>
      <c r="J276" s="65" t="str">
        <f t="shared" si="44"/>
        <v>19-1T0301/*-*</v>
      </c>
      <c r="K276" s="65" t="s">
        <v>33</v>
      </c>
      <c r="L276" s="65" t="s">
        <v>33</v>
      </c>
      <c r="M276" s="65" t="str">
        <f t="shared" si="45"/>
        <v>*-*/1T0301-19</v>
      </c>
      <c r="N276" s="159"/>
      <c r="O276" s="159"/>
      <c r="P276" s="75" t="s">
        <v>263</v>
      </c>
      <c r="Q276" s="89"/>
    </row>
    <row r="277" spans="2:17" ht="30" customHeight="1" x14ac:dyDescent="0.45">
      <c r="B277" s="87"/>
      <c r="C277" s="159"/>
      <c r="D277" s="89"/>
      <c r="E277" s="67" t="s">
        <v>17</v>
      </c>
      <c r="F277" s="77">
        <v>3</v>
      </c>
      <c r="G277" s="80">
        <v>1</v>
      </c>
      <c r="H277" s="69" t="str">
        <f t="shared" si="43"/>
        <v>1T0301</v>
      </c>
      <c r="I277" s="65">
        <f>I276+2</f>
        <v>21</v>
      </c>
      <c r="J277" s="65" t="str">
        <f t="shared" si="44"/>
        <v>21-1T0301/*-*</v>
      </c>
      <c r="K277" s="65" t="s">
        <v>33</v>
      </c>
      <c r="L277" s="65" t="s">
        <v>33</v>
      </c>
      <c r="M277" s="65" t="str">
        <f t="shared" si="45"/>
        <v>*-*/1T0301-21</v>
      </c>
      <c r="N277" s="159"/>
      <c r="O277" s="159"/>
      <c r="P277" s="75" t="s">
        <v>266</v>
      </c>
      <c r="Q277" s="89"/>
    </row>
    <row r="278" spans="2:17" ht="30" customHeight="1" x14ac:dyDescent="0.45">
      <c r="B278" s="87"/>
      <c r="C278" s="159"/>
      <c r="D278" s="89"/>
      <c r="E278" s="67" t="s">
        <v>18</v>
      </c>
      <c r="F278" s="77">
        <v>3</v>
      </c>
      <c r="G278" s="80">
        <v>1</v>
      </c>
      <c r="H278" s="69" t="str">
        <f t="shared" si="43"/>
        <v>1T0301</v>
      </c>
      <c r="I278" s="65">
        <f>I277+2</f>
        <v>23</v>
      </c>
      <c r="J278" s="65" t="str">
        <f t="shared" si="44"/>
        <v>23-1T0301/*-*</v>
      </c>
      <c r="K278" s="65" t="s">
        <v>33</v>
      </c>
      <c r="L278" s="65" t="s">
        <v>33</v>
      </c>
      <c r="M278" s="65" t="str">
        <f t="shared" si="45"/>
        <v>*-*/1T0301-23</v>
      </c>
      <c r="N278" s="159"/>
      <c r="O278" s="159"/>
      <c r="P278" s="75" t="s">
        <v>265</v>
      </c>
      <c r="Q278" s="89"/>
    </row>
    <row r="279" spans="2:17" ht="30" customHeight="1" x14ac:dyDescent="0.45">
      <c r="B279" s="87"/>
      <c r="C279" s="159"/>
      <c r="D279" s="89"/>
      <c r="E279" s="67" t="s">
        <v>19</v>
      </c>
      <c r="F279" s="77">
        <v>3</v>
      </c>
      <c r="G279" s="80">
        <v>1</v>
      </c>
      <c r="H279" s="69" t="str">
        <f t="shared" si="43"/>
        <v>1T0301</v>
      </c>
      <c r="I279" s="65">
        <f>I278+1</f>
        <v>24</v>
      </c>
      <c r="J279" s="65" t="str">
        <f t="shared" si="44"/>
        <v>24-1T0301/*-*</v>
      </c>
      <c r="K279" s="65" t="s">
        <v>33</v>
      </c>
      <c r="L279" s="65" t="s">
        <v>33</v>
      </c>
      <c r="M279" s="65" t="str">
        <f t="shared" si="45"/>
        <v>*-*/1T0301-24</v>
      </c>
      <c r="N279" s="159"/>
      <c r="O279" s="159"/>
      <c r="P279" s="75" t="s">
        <v>31</v>
      </c>
      <c r="Q279" s="89"/>
    </row>
    <row r="280" spans="2:17" ht="30" customHeight="1" x14ac:dyDescent="0.45">
      <c r="B280" s="87"/>
      <c r="C280" s="159"/>
      <c r="D280" s="89"/>
      <c r="E280" s="67" t="s">
        <v>20</v>
      </c>
      <c r="F280" s="77">
        <v>4</v>
      </c>
      <c r="G280" s="80">
        <v>7</v>
      </c>
      <c r="H280" s="69" t="str">
        <f t="shared" si="43"/>
        <v>1T0407</v>
      </c>
      <c r="I280" s="65">
        <v>3</v>
      </c>
      <c r="J280" s="65" t="str">
        <f t="shared" si="44"/>
        <v>3-1T0407/*-*</v>
      </c>
      <c r="K280" s="65" t="s">
        <v>33</v>
      </c>
      <c r="L280" s="65" t="s">
        <v>33</v>
      </c>
      <c r="M280" s="65" t="str">
        <f t="shared" si="45"/>
        <v>*-*/1T0407-3</v>
      </c>
      <c r="N280" s="159"/>
      <c r="O280" s="159"/>
      <c r="P280" s="75" t="s">
        <v>225</v>
      </c>
      <c r="Q280" s="161" t="str" cm="1">
        <f t="array" ref="Q280">UPPER(
   "In PLC side, " &amp;
   _xlfn.TEXTJOIN(", ", TRUE,
      H280:INDEX(H280:H289, MATCH("COMMON",P280:P289,0)-2) &amp;
      ": " &amp;
      (I280:INDEX(I280:I289, MATCH("COMMON",P280:P289,0)-2)+1)
   ) &amp;
   " &amp; " &amp;
   INDEX(H280:H289, MATCH("COMMON",P280:P289,0)-1) &amp; ": " &amp;
   INDEX(I280:I289, MATCH("COMMON",P280:P289,0)-1)+1 &amp;
   " are already looped"
)</f>
        <v>IN PLC SIDE, 1T0407: 4 &amp; 1T0407: 6 ARE ALREADY LOOPED</v>
      </c>
    </row>
    <row r="281" spans="2:17" ht="30" customHeight="1" x14ac:dyDescent="0.45">
      <c r="B281" s="87"/>
      <c r="C281" s="159"/>
      <c r="D281" s="89"/>
      <c r="E281" s="67" t="s">
        <v>21</v>
      </c>
      <c r="F281" s="77">
        <v>4</v>
      </c>
      <c r="G281" s="80">
        <v>7</v>
      </c>
      <c r="H281" s="69" t="str">
        <f t="shared" si="43"/>
        <v>1T0407</v>
      </c>
      <c r="I281" s="65">
        <f>I280+2</f>
        <v>5</v>
      </c>
      <c r="J281" s="65" t="str">
        <f t="shared" si="44"/>
        <v>5-1T0407/*-*</v>
      </c>
      <c r="K281" s="65" t="s">
        <v>33</v>
      </c>
      <c r="L281" s="65" t="s">
        <v>33</v>
      </c>
      <c r="M281" s="65" t="str">
        <f t="shared" si="45"/>
        <v>*-*/1T0407-5</v>
      </c>
      <c r="N281" s="159"/>
      <c r="O281" s="159"/>
      <c r="P281" s="75" t="s">
        <v>226</v>
      </c>
      <c r="Q281" s="162"/>
    </row>
    <row r="282" spans="2:17" ht="30" customHeight="1" x14ac:dyDescent="0.45">
      <c r="B282" s="87"/>
      <c r="C282" s="159"/>
      <c r="D282" s="89"/>
      <c r="E282" s="67" t="s">
        <v>30</v>
      </c>
      <c r="F282" s="77">
        <v>4</v>
      </c>
      <c r="G282" s="80">
        <v>7</v>
      </c>
      <c r="H282" s="69" t="str">
        <f t="shared" si="43"/>
        <v>1T0407</v>
      </c>
      <c r="I282" s="65">
        <f>I281+1</f>
        <v>6</v>
      </c>
      <c r="J282" s="65" t="str">
        <f t="shared" si="44"/>
        <v>6-1T0407/*-*</v>
      </c>
      <c r="K282" s="65" t="s">
        <v>33</v>
      </c>
      <c r="L282" s="65" t="s">
        <v>33</v>
      </c>
      <c r="M282" s="65" t="str">
        <f t="shared" si="45"/>
        <v>*-*/1T0407-6</v>
      </c>
      <c r="N282" s="159"/>
      <c r="O282" s="159"/>
      <c r="P282" s="75" t="s">
        <v>31</v>
      </c>
      <c r="Q282" s="162"/>
    </row>
    <row r="283" spans="2:17" ht="30" customHeight="1" x14ac:dyDescent="0.45">
      <c r="B283" s="87"/>
      <c r="C283" s="159"/>
      <c r="D283" s="89"/>
      <c r="E283" s="65" t="s">
        <v>323</v>
      </c>
      <c r="F283" s="77" t="s">
        <v>45</v>
      </c>
      <c r="G283" s="80" t="s">
        <v>45</v>
      </c>
      <c r="H283" s="69" t="s">
        <v>45</v>
      </c>
      <c r="I283" s="65" t="s">
        <v>45</v>
      </c>
      <c r="J283" s="65" t="s">
        <v>45</v>
      </c>
      <c r="K283" s="65" t="s">
        <v>45</v>
      </c>
      <c r="L283" s="65" t="s">
        <v>45</v>
      </c>
      <c r="M283" s="65" t="s">
        <v>45</v>
      </c>
      <c r="N283" s="159"/>
      <c r="O283" s="159"/>
      <c r="P283" s="75" t="s">
        <v>34</v>
      </c>
      <c r="Q283" s="162"/>
    </row>
    <row r="284" spans="2:17" ht="30" customHeight="1" x14ac:dyDescent="0.45">
      <c r="B284" s="87"/>
      <c r="C284" s="159"/>
      <c r="D284" s="89"/>
      <c r="E284" s="65" t="s">
        <v>324</v>
      </c>
      <c r="F284" s="77" t="s">
        <v>45</v>
      </c>
      <c r="G284" s="80" t="s">
        <v>45</v>
      </c>
      <c r="H284" s="69" t="s">
        <v>45</v>
      </c>
      <c r="I284" s="65" t="s">
        <v>45</v>
      </c>
      <c r="J284" s="65" t="s">
        <v>45</v>
      </c>
      <c r="K284" s="65" t="s">
        <v>45</v>
      </c>
      <c r="L284" s="65" t="s">
        <v>45</v>
      </c>
      <c r="M284" s="65" t="s">
        <v>45</v>
      </c>
      <c r="N284" s="159"/>
      <c r="O284" s="159"/>
      <c r="P284" s="75" t="s">
        <v>34</v>
      </c>
      <c r="Q284" s="163"/>
    </row>
    <row r="285" spans="2:17" ht="30" customHeight="1" x14ac:dyDescent="0.45">
      <c r="B285" s="87">
        <f>B273+1</f>
        <v>24</v>
      </c>
      <c r="C285" s="159" t="str">
        <f>N285&amp;" - PLC"</f>
        <v>415V-LT-I/C-01 - PLC</v>
      </c>
      <c r="D285" s="89" t="s">
        <v>200</v>
      </c>
      <c r="E285" s="67" t="s">
        <v>13</v>
      </c>
      <c r="F285" s="77">
        <v>3</v>
      </c>
      <c r="G285" s="80">
        <v>1</v>
      </c>
      <c r="H285" s="69" t="str">
        <f t="shared" si="43"/>
        <v>1T0301</v>
      </c>
      <c r="I285" s="65">
        <v>25</v>
      </c>
      <c r="J285" s="65" t="str">
        <f t="shared" si="44"/>
        <v>25-1T0301/*-*</v>
      </c>
      <c r="K285" s="65" t="s">
        <v>33</v>
      </c>
      <c r="L285" s="65" t="s">
        <v>33</v>
      </c>
      <c r="M285" s="65" t="str">
        <f t="shared" si="45"/>
        <v>*-*/1T0301-25</v>
      </c>
      <c r="N285" s="159" t="s">
        <v>275</v>
      </c>
      <c r="O285" s="159" t="s">
        <v>276</v>
      </c>
      <c r="P285" s="75" t="s">
        <v>41</v>
      </c>
      <c r="Q285" s="161" t="str" cm="1">
        <f t="array" ref="Q285">UPPER(
   "In PLC side, " &amp;
   _xlfn.TEXTJOIN(", ", TRUE,
      H285:INDEX(H285:H296, MATCH("COMMON",P285:P296,0)-2) &amp;
      ": " &amp;
      (I285:INDEX(I285:I296, MATCH("COMMON",P285:P296,0)-2)+1)
   ) &amp;
   " &amp; " &amp;
   INDEX(H285:H296, MATCH("COMMON",P285:P296,0)-1) &amp; ": " &amp;
   INDEX(I285:I296, MATCH("COMMON",P285:P296,0)-1)+1 &amp;
   " are already looped"
)</f>
        <v>IN PLC SIDE, 1T0301: 26, 1T0302: 2, 1T0302: 4 &amp; 1T0302: 6 ARE ALREADY LOOPED</v>
      </c>
    </row>
    <row r="286" spans="2:17" ht="30" customHeight="1" x14ac:dyDescent="0.45">
      <c r="B286" s="87"/>
      <c r="C286" s="159"/>
      <c r="D286" s="89"/>
      <c r="E286" s="67" t="s">
        <v>14</v>
      </c>
      <c r="F286" s="77">
        <v>3</v>
      </c>
      <c r="G286" s="80">
        <v>2</v>
      </c>
      <c r="H286" s="69" t="str">
        <f t="shared" si="43"/>
        <v>1T0302</v>
      </c>
      <c r="I286" s="65">
        <v>1</v>
      </c>
      <c r="J286" s="65" t="str">
        <f t="shared" si="44"/>
        <v>1-1T0302/*-*</v>
      </c>
      <c r="K286" s="65" t="s">
        <v>33</v>
      </c>
      <c r="L286" s="65" t="s">
        <v>33</v>
      </c>
      <c r="M286" s="65" t="str">
        <f t="shared" si="45"/>
        <v>*-*/1T0302-1</v>
      </c>
      <c r="N286" s="159"/>
      <c r="O286" s="159"/>
      <c r="P286" s="75" t="s">
        <v>42</v>
      </c>
      <c r="Q286" s="162"/>
    </row>
    <row r="287" spans="2:17" ht="30" customHeight="1" x14ac:dyDescent="0.45">
      <c r="B287" s="87"/>
      <c r="C287" s="159"/>
      <c r="D287" s="89"/>
      <c r="E287" s="67" t="s">
        <v>15</v>
      </c>
      <c r="F287" s="77">
        <v>3</v>
      </c>
      <c r="G287" s="80">
        <v>2</v>
      </c>
      <c r="H287" s="69" t="str">
        <f t="shared" si="43"/>
        <v>1T0302</v>
      </c>
      <c r="I287" s="65">
        <f>I286+2</f>
        <v>3</v>
      </c>
      <c r="J287" s="65" t="str">
        <f t="shared" si="44"/>
        <v>3-1T0302/*-*</v>
      </c>
      <c r="K287" s="65" t="s">
        <v>33</v>
      </c>
      <c r="L287" s="65" t="s">
        <v>33</v>
      </c>
      <c r="M287" s="65" t="str">
        <f t="shared" si="45"/>
        <v>*-*/1T0302-3</v>
      </c>
      <c r="N287" s="159"/>
      <c r="O287" s="159"/>
      <c r="P287" s="75" t="s">
        <v>262</v>
      </c>
      <c r="Q287" s="162"/>
    </row>
    <row r="288" spans="2:17" ht="30" customHeight="1" x14ac:dyDescent="0.45">
      <c r="B288" s="87"/>
      <c r="C288" s="159"/>
      <c r="D288" s="89"/>
      <c r="E288" s="67" t="s">
        <v>16</v>
      </c>
      <c r="F288" s="77">
        <v>3</v>
      </c>
      <c r="G288" s="80">
        <v>2</v>
      </c>
      <c r="H288" s="69" t="str">
        <f t="shared" si="43"/>
        <v>1T0302</v>
      </c>
      <c r="I288" s="65">
        <f>I287+2</f>
        <v>5</v>
      </c>
      <c r="J288" s="65" t="str">
        <f t="shared" si="44"/>
        <v>5-1T0302/*-*</v>
      </c>
      <c r="K288" s="65" t="s">
        <v>33</v>
      </c>
      <c r="L288" s="65" t="s">
        <v>33</v>
      </c>
      <c r="M288" s="65" t="str">
        <f t="shared" si="45"/>
        <v>*-*/1T0302-5</v>
      </c>
      <c r="N288" s="159"/>
      <c r="O288" s="159"/>
      <c r="P288" s="75" t="s">
        <v>263</v>
      </c>
      <c r="Q288" s="162"/>
    </row>
    <row r="289" spans="2:17" ht="30" customHeight="1" x14ac:dyDescent="0.45">
      <c r="B289" s="87"/>
      <c r="C289" s="159"/>
      <c r="D289" s="89"/>
      <c r="E289" s="67" t="s">
        <v>17</v>
      </c>
      <c r="F289" s="77">
        <v>3</v>
      </c>
      <c r="G289" s="80">
        <v>2</v>
      </c>
      <c r="H289" s="69" t="str">
        <f t="shared" si="43"/>
        <v>1T0302</v>
      </c>
      <c r="I289" s="65">
        <f>I288+1</f>
        <v>6</v>
      </c>
      <c r="J289" s="65" t="str">
        <f t="shared" si="44"/>
        <v>6-1T0302/*-*</v>
      </c>
      <c r="K289" s="65" t="s">
        <v>33</v>
      </c>
      <c r="L289" s="65" t="s">
        <v>33</v>
      </c>
      <c r="M289" s="65" t="str">
        <f t="shared" si="45"/>
        <v>*-*/1T0302-6</v>
      </c>
      <c r="N289" s="159"/>
      <c r="O289" s="159"/>
      <c r="P289" s="75" t="s">
        <v>31</v>
      </c>
      <c r="Q289" s="163"/>
    </row>
    <row r="290" spans="2:17" ht="30" customHeight="1" x14ac:dyDescent="0.45">
      <c r="B290" s="87"/>
      <c r="C290" s="159"/>
      <c r="D290" s="89"/>
      <c r="E290" s="67" t="s">
        <v>18</v>
      </c>
      <c r="F290" s="77">
        <v>4</v>
      </c>
      <c r="G290" s="80">
        <v>7</v>
      </c>
      <c r="H290" s="69" t="str">
        <f t="shared" si="43"/>
        <v>1T0407</v>
      </c>
      <c r="I290" s="65">
        <v>7</v>
      </c>
      <c r="J290" s="65" t="str">
        <f t="shared" si="44"/>
        <v>7-1T0407/*-*</v>
      </c>
      <c r="K290" s="65" t="s">
        <v>33</v>
      </c>
      <c r="L290" s="65" t="s">
        <v>33</v>
      </c>
      <c r="M290" s="65" t="str">
        <f t="shared" si="45"/>
        <v>*-*/1T0407-7</v>
      </c>
      <c r="N290" s="159"/>
      <c r="O290" s="159"/>
      <c r="P290" s="75" t="s">
        <v>225</v>
      </c>
      <c r="Q290" s="161" t="str" cm="1">
        <f t="array" ref="Q290">UPPER(
   "In PLC side, " &amp;
   _xlfn.TEXTJOIN(", ", TRUE,
      H290:INDEX(H290:H299, MATCH("COMMON",P290:P299,0)-2) &amp;
      ": " &amp;
      (I290:INDEX(I290:I299, MATCH("COMMON",P290:P299,0)-2)+1)
   ) &amp;
   " &amp; " &amp;
   INDEX(H290:H299, MATCH("COMMON",P290:P299,0)-1) &amp; ": " &amp;
   INDEX(I290:I299, MATCH("COMMON",P290:P299,0)-1)+1 &amp;
   " are already looped"
)</f>
        <v>IN PLC SIDE, 1T0407: 8 &amp; 1T0407: 10 ARE ALREADY LOOPED</v>
      </c>
    </row>
    <row r="291" spans="2:17" ht="30" customHeight="1" x14ac:dyDescent="0.45">
      <c r="B291" s="87"/>
      <c r="C291" s="159"/>
      <c r="D291" s="89"/>
      <c r="E291" s="67" t="s">
        <v>19</v>
      </c>
      <c r="F291" s="77">
        <v>4</v>
      </c>
      <c r="G291" s="80">
        <v>7</v>
      </c>
      <c r="H291" s="69" t="str">
        <f t="shared" si="43"/>
        <v>1T0407</v>
      </c>
      <c r="I291" s="65">
        <f>I290+2</f>
        <v>9</v>
      </c>
      <c r="J291" s="65" t="str">
        <f t="shared" si="44"/>
        <v>9-1T0407/*-*</v>
      </c>
      <c r="K291" s="65" t="s">
        <v>33</v>
      </c>
      <c r="L291" s="65" t="s">
        <v>33</v>
      </c>
      <c r="M291" s="65" t="str">
        <f t="shared" si="45"/>
        <v>*-*/1T0407-9</v>
      </c>
      <c r="N291" s="159"/>
      <c r="O291" s="159"/>
      <c r="P291" s="75" t="s">
        <v>226</v>
      </c>
      <c r="Q291" s="162"/>
    </row>
    <row r="292" spans="2:17" ht="30" customHeight="1" x14ac:dyDescent="0.45">
      <c r="B292" s="87"/>
      <c r="C292" s="159"/>
      <c r="D292" s="89"/>
      <c r="E292" s="67" t="s">
        <v>20</v>
      </c>
      <c r="F292" s="77">
        <v>4</v>
      </c>
      <c r="G292" s="80">
        <v>7</v>
      </c>
      <c r="H292" s="69" t="str">
        <f t="shared" si="43"/>
        <v>1T0407</v>
      </c>
      <c r="I292" s="65">
        <f>I291+1</f>
        <v>10</v>
      </c>
      <c r="J292" s="65" t="str">
        <f t="shared" si="44"/>
        <v>10-1T0407/*-*</v>
      </c>
      <c r="K292" s="65" t="s">
        <v>33</v>
      </c>
      <c r="L292" s="65" t="s">
        <v>33</v>
      </c>
      <c r="M292" s="65" t="str">
        <f t="shared" si="45"/>
        <v>*-*/1T0407-10</v>
      </c>
      <c r="N292" s="159"/>
      <c r="O292" s="159"/>
      <c r="P292" s="75" t="s">
        <v>31</v>
      </c>
      <c r="Q292" s="162"/>
    </row>
    <row r="293" spans="2:17" ht="30" customHeight="1" x14ac:dyDescent="0.45">
      <c r="B293" s="87"/>
      <c r="C293" s="159"/>
      <c r="D293" s="89"/>
      <c r="E293" s="67" t="s">
        <v>21</v>
      </c>
      <c r="F293" s="77" t="s">
        <v>45</v>
      </c>
      <c r="G293" s="80" t="s">
        <v>45</v>
      </c>
      <c r="H293" s="69" t="s">
        <v>45</v>
      </c>
      <c r="I293" s="65" t="s">
        <v>45</v>
      </c>
      <c r="J293" s="65" t="s">
        <v>45</v>
      </c>
      <c r="K293" s="65" t="s">
        <v>45</v>
      </c>
      <c r="L293" s="65" t="s">
        <v>45</v>
      </c>
      <c r="M293" s="65" t="s">
        <v>45</v>
      </c>
      <c r="N293" s="159"/>
      <c r="O293" s="159"/>
      <c r="P293" s="75" t="s">
        <v>34</v>
      </c>
      <c r="Q293" s="162"/>
    </row>
    <row r="294" spans="2:17" ht="30" customHeight="1" x14ac:dyDescent="0.45">
      <c r="B294" s="87"/>
      <c r="C294" s="159"/>
      <c r="D294" s="89"/>
      <c r="E294" s="67" t="s">
        <v>30</v>
      </c>
      <c r="F294" s="77" t="s">
        <v>45</v>
      </c>
      <c r="G294" s="80" t="s">
        <v>45</v>
      </c>
      <c r="H294" s="69" t="s">
        <v>45</v>
      </c>
      <c r="I294" s="65" t="s">
        <v>45</v>
      </c>
      <c r="J294" s="65" t="s">
        <v>45</v>
      </c>
      <c r="K294" s="65" t="s">
        <v>45</v>
      </c>
      <c r="L294" s="65" t="s">
        <v>45</v>
      </c>
      <c r="M294" s="65" t="s">
        <v>45</v>
      </c>
      <c r="N294" s="159"/>
      <c r="O294" s="159"/>
      <c r="P294" s="75" t="s">
        <v>34</v>
      </c>
      <c r="Q294" s="163"/>
    </row>
    <row r="295" spans="2:17" ht="30" customHeight="1" x14ac:dyDescent="0.45">
      <c r="B295" s="87">
        <f>B285+1</f>
        <v>25</v>
      </c>
      <c r="C295" s="159" t="str">
        <f t="shared" ref="C295" si="46">N295&amp;" - PLC"</f>
        <v>415V-LT-I/C-02 - PLC</v>
      </c>
      <c r="D295" s="89" t="s">
        <v>200</v>
      </c>
      <c r="E295" s="67" t="s">
        <v>13</v>
      </c>
      <c r="F295" s="77">
        <v>3</v>
      </c>
      <c r="G295" s="80">
        <v>2</v>
      </c>
      <c r="H295" s="69" t="str">
        <f t="shared" si="43"/>
        <v>1T0302</v>
      </c>
      <c r="I295" s="65">
        <f>I289+1</f>
        <v>7</v>
      </c>
      <c r="J295" s="65" t="str">
        <f t="shared" si="44"/>
        <v>7-1T0302/*-*</v>
      </c>
      <c r="K295" s="65" t="s">
        <v>33</v>
      </c>
      <c r="L295" s="65" t="s">
        <v>33</v>
      </c>
      <c r="M295" s="65" t="str">
        <f t="shared" si="45"/>
        <v>*-*/1T0302-7</v>
      </c>
      <c r="N295" s="159" t="s">
        <v>277</v>
      </c>
      <c r="O295" s="159" t="s">
        <v>278</v>
      </c>
      <c r="P295" s="75" t="s">
        <v>41</v>
      </c>
      <c r="Q295" s="161" t="str" cm="1">
        <f t="array" ref="Q295">UPPER(
   "In PLC side, " &amp;
   _xlfn.TEXTJOIN(", ", TRUE,
      H295:INDEX(H295:H306, MATCH("COMMON",P295:P306,0)-2) &amp;
      ": " &amp;
      (I295:INDEX(I295:I306, MATCH("COMMON",P295:P306,0)-2)+1)
   ) &amp;
   " &amp; " &amp;
   INDEX(H295:H306, MATCH("COMMON",P295:P306,0)-1) &amp; ": " &amp;
   INDEX(I295:I306, MATCH("COMMON",P295:P306,0)-1)+1 &amp;
   " are already looped"
)</f>
        <v>IN PLC SIDE, 1T0302: 8, 1T0302: 10, 1T0302: 12 &amp; 1T0302: 14 ARE ALREADY LOOPED</v>
      </c>
    </row>
    <row r="296" spans="2:17" ht="30" customHeight="1" x14ac:dyDescent="0.45">
      <c r="B296" s="87"/>
      <c r="C296" s="159"/>
      <c r="D296" s="89"/>
      <c r="E296" s="67" t="s">
        <v>14</v>
      </c>
      <c r="F296" s="77">
        <v>3</v>
      </c>
      <c r="G296" s="80">
        <v>2</v>
      </c>
      <c r="H296" s="69" t="str">
        <f t="shared" si="43"/>
        <v>1T0302</v>
      </c>
      <c r="I296" s="65">
        <f>I295+2</f>
        <v>9</v>
      </c>
      <c r="J296" s="65" t="str">
        <f t="shared" si="44"/>
        <v>9-1T0302/*-*</v>
      </c>
      <c r="K296" s="65" t="s">
        <v>33</v>
      </c>
      <c r="L296" s="65" t="s">
        <v>33</v>
      </c>
      <c r="M296" s="65" t="str">
        <f t="shared" si="45"/>
        <v>*-*/1T0302-9</v>
      </c>
      <c r="N296" s="159"/>
      <c r="O296" s="159"/>
      <c r="P296" s="75" t="s">
        <v>42</v>
      </c>
      <c r="Q296" s="162"/>
    </row>
    <row r="297" spans="2:17" ht="30" customHeight="1" x14ac:dyDescent="0.45">
      <c r="B297" s="87"/>
      <c r="C297" s="159"/>
      <c r="D297" s="89"/>
      <c r="E297" s="67" t="s">
        <v>15</v>
      </c>
      <c r="F297" s="77">
        <v>3</v>
      </c>
      <c r="G297" s="80">
        <v>2</v>
      </c>
      <c r="H297" s="69" t="str">
        <f t="shared" si="43"/>
        <v>1T0302</v>
      </c>
      <c r="I297" s="65">
        <f>I296+2</f>
        <v>11</v>
      </c>
      <c r="J297" s="65" t="str">
        <f t="shared" si="44"/>
        <v>11-1T0302/*-*</v>
      </c>
      <c r="K297" s="65" t="s">
        <v>33</v>
      </c>
      <c r="L297" s="65" t="s">
        <v>33</v>
      </c>
      <c r="M297" s="65" t="str">
        <f t="shared" si="45"/>
        <v>*-*/1T0302-11</v>
      </c>
      <c r="N297" s="159"/>
      <c r="O297" s="159"/>
      <c r="P297" s="75" t="s">
        <v>262</v>
      </c>
      <c r="Q297" s="162"/>
    </row>
    <row r="298" spans="2:17" ht="30" customHeight="1" x14ac:dyDescent="0.45">
      <c r="B298" s="87"/>
      <c r="C298" s="159"/>
      <c r="D298" s="89"/>
      <c r="E298" s="67" t="s">
        <v>16</v>
      </c>
      <c r="F298" s="77">
        <v>3</v>
      </c>
      <c r="G298" s="80">
        <v>2</v>
      </c>
      <c r="H298" s="69" t="str">
        <f t="shared" si="43"/>
        <v>1T0302</v>
      </c>
      <c r="I298" s="65">
        <f>I297+2</f>
        <v>13</v>
      </c>
      <c r="J298" s="65" t="str">
        <f t="shared" si="44"/>
        <v>13-1T0302/*-*</v>
      </c>
      <c r="K298" s="65" t="s">
        <v>33</v>
      </c>
      <c r="L298" s="65" t="s">
        <v>33</v>
      </c>
      <c r="M298" s="65" t="str">
        <f t="shared" si="45"/>
        <v>*-*/1T0302-13</v>
      </c>
      <c r="N298" s="159"/>
      <c r="O298" s="159"/>
      <c r="P298" s="75" t="s">
        <v>263</v>
      </c>
      <c r="Q298" s="162"/>
    </row>
    <row r="299" spans="2:17" ht="30" customHeight="1" x14ac:dyDescent="0.45">
      <c r="B299" s="87"/>
      <c r="C299" s="159"/>
      <c r="D299" s="89"/>
      <c r="E299" s="67" t="s">
        <v>17</v>
      </c>
      <c r="F299" s="77">
        <v>3</v>
      </c>
      <c r="G299" s="80">
        <v>2</v>
      </c>
      <c r="H299" s="69" t="str">
        <f t="shared" si="43"/>
        <v>1T0302</v>
      </c>
      <c r="I299" s="65">
        <f>I298+1</f>
        <v>14</v>
      </c>
      <c r="J299" s="65" t="str">
        <f t="shared" si="44"/>
        <v>14-1T0302/*-*</v>
      </c>
      <c r="K299" s="65" t="s">
        <v>33</v>
      </c>
      <c r="L299" s="65" t="s">
        <v>33</v>
      </c>
      <c r="M299" s="65" t="str">
        <f t="shared" si="45"/>
        <v>*-*/1T0302-14</v>
      </c>
      <c r="N299" s="159"/>
      <c r="O299" s="159"/>
      <c r="P299" s="75" t="s">
        <v>31</v>
      </c>
      <c r="Q299" s="163"/>
    </row>
    <row r="300" spans="2:17" ht="30" customHeight="1" x14ac:dyDescent="0.45">
      <c r="B300" s="87"/>
      <c r="C300" s="159"/>
      <c r="D300" s="89"/>
      <c r="E300" s="67" t="s">
        <v>18</v>
      </c>
      <c r="F300" s="77">
        <v>4</v>
      </c>
      <c r="G300" s="80">
        <v>7</v>
      </c>
      <c r="H300" s="69" t="str">
        <f t="shared" si="43"/>
        <v>1T0407</v>
      </c>
      <c r="I300" s="65">
        <v>11</v>
      </c>
      <c r="J300" s="65" t="str">
        <f t="shared" si="44"/>
        <v>11-1T0407/*-*</v>
      </c>
      <c r="K300" s="65" t="s">
        <v>33</v>
      </c>
      <c r="L300" s="65" t="s">
        <v>33</v>
      </c>
      <c r="M300" s="65" t="str">
        <f t="shared" si="45"/>
        <v>*-*/1T0407-11</v>
      </c>
      <c r="N300" s="159"/>
      <c r="O300" s="159"/>
      <c r="P300" s="75" t="s">
        <v>225</v>
      </c>
      <c r="Q300" s="161" t="str" cm="1">
        <f t="array" ref="Q300">UPPER(
   "In PLC side, " &amp;
   _xlfn.TEXTJOIN(", ", TRUE,
      H300:INDEX(H300:H309, MATCH("COMMON",P300:P309,0)-2) &amp;
      ": " &amp;
      (I300:INDEX(I300:I309, MATCH("COMMON",P300:P309,0)-2)+1)
   ) &amp;
   " &amp; " &amp;
   INDEX(H300:H309, MATCH("COMMON",P300:P309,0)-1) &amp; ": " &amp;
   INDEX(I300:I309, MATCH("COMMON",P300:P309,0)-1)+1 &amp;
   " are already looped"
)</f>
        <v>IN PLC SIDE, 1T0407: 12 &amp; 1T0407: 14 ARE ALREADY LOOPED</v>
      </c>
    </row>
    <row r="301" spans="2:17" ht="30" customHeight="1" x14ac:dyDescent="0.45">
      <c r="B301" s="87"/>
      <c r="C301" s="159"/>
      <c r="D301" s="89"/>
      <c r="E301" s="67" t="s">
        <v>19</v>
      </c>
      <c r="F301" s="77">
        <v>4</v>
      </c>
      <c r="G301" s="80">
        <v>7</v>
      </c>
      <c r="H301" s="69" t="str">
        <f t="shared" si="43"/>
        <v>1T0407</v>
      </c>
      <c r="I301" s="65">
        <f>I300+2</f>
        <v>13</v>
      </c>
      <c r="J301" s="65" t="str">
        <f t="shared" si="44"/>
        <v>13-1T0407/*-*</v>
      </c>
      <c r="K301" s="65" t="s">
        <v>33</v>
      </c>
      <c r="L301" s="65" t="s">
        <v>33</v>
      </c>
      <c r="M301" s="65" t="str">
        <f t="shared" si="45"/>
        <v>*-*/1T0407-13</v>
      </c>
      <c r="N301" s="159"/>
      <c r="O301" s="159"/>
      <c r="P301" s="75" t="s">
        <v>226</v>
      </c>
      <c r="Q301" s="162"/>
    </row>
    <row r="302" spans="2:17" ht="30" customHeight="1" x14ac:dyDescent="0.45">
      <c r="B302" s="87"/>
      <c r="C302" s="159"/>
      <c r="D302" s="89"/>
      <c r="E302" s="67" t="s">
        <v>20</v>
      </c>
      <c r="F302" s="77">
        <v>4</v>
      </c>
      <c r="G302" s="80">
        <v>7</v>
      </c>
      <c r="H302" s="69" t="str">
        <f t="shared" si="43"/>
        <v>1T0407</v>
      </c>
      <c r="I302" s="65">
        <f>I301+1</f>
        <v>14</v>
      </c>
      <c r="J302" s="65" t="str">
        <f t="shared" si="44"/>
        <v>14-1T0407/*-*</v>
      </c>
      <c r="K302" s="65" t="s">
        <v>33</v>
      </c>
      <c r="L302" s="65" t="s">
        <v>33</v>
      </c>
      <c r="M302" s="65" t="str">
        <f t="shared" si="45"/>
        <v>*-*/1T0407-14</v>
      </c>
      <c r="N302" s="159"/>
      <c r="O302" s="159"/>
      <c r="P302" s="75" t="s">
        <v>31</v>
      </c>
      <c r="Q302" s="162"/>
    </row>
    <row r="303" spans="2:17" ht="30" customHeight="1" x14ac:dyDescent="0.45">
      <c r="B303" s="87"/>
      <c r="C303" s="159"/>
      <c r="D303" s="89"/>
      <c r="E303" s="67" t="s">
        <v>21</v>
      </c>
      <c r="F303" s="77" t="s">
        <v>45</v>
      </c>
      <c r="G303" s="80" t="s">
        <v>45</v>
      </c>
      <c r="H303" s="69" t="s">
        <v>45</v>
      </c>
      <c r="I303" s="65" t="s">
        <v>45</v>
      </c>
      <c r="J303" s="65" t="s">
        <v>45</v>
      </c>
      <c r="K303" s="65" t="s">
        <v>45</v>
      </c>
      <c r="L303" s="65" t="s">
        <v>45</v>
      </c>
      <c r="M303" s="65" t="s">
        <v>45</v>
      </c>
      <c r="N303" s="159"/>
      <c r="O303" s="159"/>
      <c r="P303" s="75" t="s">
        <v>34</v>
      </c>
      <c r="Q303" s="162"/>
    </row>
    <row r="304" spans="2:17" ht="30" customHeight="1" x14ac:dyDescent="0.45">
      <c r="B304" s="87"/>
      <c r="C304" s="159"/>
      <c r="D304" s="89"/>
      <c r="E304" s="67" t="s">
        <v>30</v>
      </c>
      <c r="F304" s="77" t="s">
        <v>45</v>
      </c>
      <c r="G304" s="80" t="s">
        <v>45</v>
      </c>
      <c r="H304" s="69" t="s">
        <v>45</v>
      </c>
      <c r="I304" s="65" t="s">
        <v>45</v>
      </c>
      <c r="J304" s="65" t="s">
        <v>45</v>
      </c>
      <c r="K304" s="65" t="s">
        <v>45</v>
      </c>
      <c r="L304" s="65" t="s">
        <v>45</v>
      </c>
      <c r="M304" s="65" t="s">
        <v>45</v>
      </c>
      <c r="N304" s="159"/>
      <c r="O304" s="159"/>
      <c r="P304" s="75" t="s">
        <v>34</v>
      </c>
      <c r="Q304" s="163"/>
    </row>
    <row r="305" spans="2:17" ht="30" customHeight="1" x14ac:dyDescent="0.45">
      <c r="B305" s="87">
        <f>B295+1</f>
        <v>26</v>
      </c>
      <c r="C305" s="159" t="str">
        <f t="shared" ref="C305:C315" si="47">N305&amp;" - PLC"</f>
        <v>415V-LT-B/C-01 - PLC</v>
      </c>
      <c r="D305" s="89" t="s">
        <v>200</v>
      </c>
      <c r="E305" s="67" t="s">
        <v>13</v>
      </c>
      <c r="F305" s="77">
        <v>3</v>
      </c>
      <c r="G305" s="80">
        <v>2</v>
      </c>
      <c r="H305" s="69" t="str">
        <f t="shared" si="43"/>
        <v>1T0302</v>
      </c>
      <c r="I305" s="65">
        <f t="shared" ref="I305" si="48">I299+1</f>
        <v>15</v>
      </c>
      <c r="J305" s="65" t="str">
        <f t="shared" si="44"/>
        <v>15-1T0302/*-*</v>
      </c>
      <c r="K305" s="65" t="s">
        <v>33</v>
      </c>
      <c r="L305" s="65" t="s">
        <v>33</v>
      </c>
      <c r="M305" s="65" t="str">
        <f t="shared" si="45"/>
        <v>*-*/1T0302-15</v>
      </c>
      <c r="N305" s="159" t="s">
        <v>280</v>
      </c>
      <c r="O305" s="159" t="s">
        <v>279</v>
      </c>
      <c r="P305" s="75" t="s">
        <v>41</v>
      </c>
      <c r="Q305" s="161" t="str" cm="1">
        <f t="array" ref="Q305">UPPER(
   "In PLC side, " &amp;
   _xlfn.TEXTJOIN(", ", TRUE,
      H305:INDEX(H305:H316, MATCH("COMMON",P305:P316,0)-2) &amp;
      ": " &amp;
      (I305:INDEX(I305:I316, MATCH("COMMON",P305:P316,0)-2)+1)
   ) &amp;
   " &amp; " &amp;
   INDEX(H305:H316, MATCH("COMMON",P305:P316,0)-1) &amp; ": " &amp;
   INDEX(I305:I316, MATCH("COMMON",P305:P316,0)-1)+1 &amp;
   " are already looped"
)</f>
        <v>IN PLC SIDE, 1T0302: 16, 1T0302: 18, 1T0302: 20 &amp; 1T0302: 22 ARE ALREADY LOOPED</v>
      </c>
    </row>
    <row r="306" spans="2:17" ht="30" customHeight="1" x14ac:dyDescent="0.45">
      <c r="B306" s="87"/>
      <c r="C306" s="159"/>
      <c r="D306" s="89"/>
      <c r="E306" s="67" t="s">
        <v>14</v>
      </c>
      <c r="F306" s="77">
        <v>3</v>
      </c>
      <c r="G306" s="80">
        <v>2</v>
      </c>
      <c r="H306" s="69" t="str">
        <f t="shared" si="43"/>
        <v>1T0302</v>
      </c>
      <c r="I306" s="65">
        <f t="shared" ref="I306:I308" si="49">I305+2</f>
        <v>17</v>
      </c>
      <c r="J306" s="65" t="str">
        <f t="shared" si="44"/>
        <v>17-1T0302/*-*</v>
      </c>
      <c r="K306" s="65" t="s">
        <v>33</v>
      </c>
      <c r="L306" s="65" t="s">
        <v>33</v>
      </c>
      <c r="M306" s="65" t="str">
        <f t="shared" si="45"/>
        <v>*-*/1T0302-17</v>
      </c>
      <c r="N306" s="159"/>
      <c r="O306" s="159"/>
      <c r="P306" s="75" t="s">
        <v>42</v>
      </c>
      <c r="Q306" s="162"/>
    </row>
    <row r="307" spans="2:17" ht="30" customHeight="1" x14ac:dyDescent="0.45">
      <c r="B307" s="87"/>
      <c r="C307" s="159"/>
      <c r="D307" s="89"/>
      <c r="E307" s="67" t="s">
        <v>15</v>
      </c>
      <c r="F307" s="77">
        <v>3</v>
      </c>
      <c r="G307" s="80">
        <v>2</v>
      </c>
      <c r="H307" s="69" t="str">
        <f t="shared" si="43"/>
        <v>1T0302</v>
      </c>
      <c r="I307" s="65">
        <f t="shared" si="49"/>
        <v>19</v>
      </c>
      <c r="J307" s="65" t="str">
        <f t="shared" si="44"/>
        <v>19-1T0302/*-*</v>
      </c>
      <c r="K307" s="65" t="s">
        <v>33</v>
      </c>
      <c r="L307" s="65" t="s">
        <v>33</v>
      </c>
      <c r="M307" s="65" t="str">
        <f t="shared" si="45"/>
        <v>*-*/1T0302-19</v>
      </c>
      <c r="N307" s="159"/>
      <c r="O307" s="159"/>
      <c r="P307" s="75" t="s">
        <v>262</v>
      </c>
      <c r="Q307" s="162"/>
    </row>
    <row r="308" spans="2:17" ht="30" customHeight="1" x14ac:dyDescent="0.45">
      <c r="B308" s="87"/>
      <c r="C308" s="159"/>
      <c r="D308" s="89"/>
      <c r="E308" s="67" t="s">
        <v>16</v>
      </c>
      <c r="F308" s="77">
        <v>3</v>
      </c>
      <c r="G308" s="80">
        <v>2</v>
      </c>
      <c r="H308" s="69" t="str">
        <f t="shared" si="43"/>
        <v>1T0302</v>
      </c>
      <c r="I308" s="65">
        <f t="shared" si="49"/>
        <v>21</v>
      </c>
      <c r="J308" s="65" t="str">
        <f t="shared" si="44"/>
        <v>21-1T0302/*-*</v>
      </c>
      <c r="K308" s="65" t="s">
        <v>33</v>
      </c>
      <c r="L308" s="65" t="s">
        <v>33</v>
      </c>
      <c r="M308" s="65" t="str">
        <f t="shared" si="45"/>
        <v>*-*/1T0302-21</v>
      </c>
      <c r="N308" s="159"/>
      <c r="O308" s="159"/>
      <c r="P308" s="75" t="s">
        <v>263</v>
      </c>
      <c r="Q308" s="162"/>
    </row>
    <row r="309" spans="2:17" ht="30" customHeight="1" x14ac:dyDescent="0.45">
      <c r="B309" s="87"/>
      <c r="C309" s="159"/>
      <c r="D309" s="89"/>
      <c r="E309" s="67" t="s">
        <v>17</v>
      </c>
      <c r="F309" s="77">
        <v>3</v>
      </c>
      <c r="G309" s="80">
        <v>2</v>
      </c>
      <c r="H309" s="69" t="str">
        <f t="shared" si="43"/>
        <v>1T0302</v>
      </c>
      <c r="I309" s="65">
        <f t="shared" ref="I309" si="50">I308+1</f>
        <v>22</v>
      </c>
      <c r="J309" s="65" t="str">
        <f t="shared" si="44"/>
        <v>22-1T0302/*-*</v>
      </c>
      <c r="K309" s="65" t="s">
        <v>33</v>
      </c>
      <c r="L309" s="65" t="s">
        <v>33</v>
      </c>
      <c r="M309" s="65" t="str">
        <f t="shared" si="45"/>
        <v>*-*/1T0302-22</v>
      </c>
      <c r="N309" s="159"/>
      <c r="O309" s="159"/>
      <c r="P309" s="75" t="s">
        <v>31</v>
      </c>
      <c r="Q309" s="163"/>
    </row>
    <row r="310" spans="2:17" ht="30" customHeight="1" x14ac:dyDescent="0.45">
      <c r="B310" s="87"/>
      <c r="C310" s="159"/>
      <c r="D310" s="89"/>
      <c r="E310" s="67" t="s">
        <v>18</v>
      </c>
      <c r="F310" s="77">
        <v>4</v>
      </c>
      <c r="G310" s="80">
        <v>7</v>
      </c>
      <c r="H310" s="69" t="str">
        <f t="shared" si="43"/>
        <v>1T0407</v>
      </c>
      <c r="I310" s="65">
        <v>15</v>
      </c>
      <c r="J310" s="65" t="str">
        <f t="shared" si="44"/>
        <v>15-1T0407/*-*</v>
      </c>
      <c r="K310" s="65" t="s">
        <v>33</v>
      </c>
      <c r="L310" s="65" t="s">
        <v>33</v>
      </c>
      <c r="M310" s="65" t="str">
        <f t="shared" si="45"/>
        <v>*-*/1T0407-15</v>
      </c>
      <c r="N310" s="159"/>
      <c r="O310" s="159"/>
      <c r="P310" s="75" t="s">
        <v>225</v>
      </c>
      <c r="Q310" s="161" t="str" cm="1">
        <f t="array" ref="Q310">UPPER(
   "In PLC side, " &amp;
   _xlfn.TEXTJOIN(", ", TRUE,
      H310:INDEX(H310:H319, MATCH("COMMON",P310:P319,0)-2) &amp;
      ": " &amp;
      (I310:INDEX(I310:I319, MATCH("COMMON",P310:P319,0)-2)+1)
   ) &amp;
   " &amp; " &amp;
   INDEX(H310:H319, MATCH("COMMON",P310:P319,0)-1) &amp; ": " &amp;
   INDEX(I310:I319, MATCH("COMMON",P310:P319,0)-1)+1 &amp;
   " are already looped"
)</f>
        <v>IN PLC SIDE, 1T0407: 16 &amp; 1T0407: 18 ARE ALREADY LOOPED</v>
      </c>
    </row>
    <row r="311" spans="2:17" ht="30" customHeight="1" x14ac:dyDescent="0.45">
      <c r="B311" s="87"/>
      <c r="C311" s="159"/>
      <c r="D311" s="89"/>
      <c r="E311" s="67" t="s">
        <v>19</v>
      </c>
      <c r="F311" s="77">
        <v>4</v>
      </c>
      <c r="G311" s="80">
        <v>7</v>
      </c>
      <c r="H311" s="69" t="str">
        <f t="shared" si="43"/>
        <v>1T0407</v>
      </c>
      <c r="I311" s="65">
        <f>I310+2</f>
        <v>17</v>
      </c>
      <c r="J311" s="65" t="str">
        <f t="shared" si="44"/>
        <v>17-1T0407/*-*</v>
      </c>
      <c r="K311" s="65" t="s">
        <v>33</v>
      </c>
      <c r="L311" s="65" t="s">
        <v>33</v>
      </c>
      <c r="M311" s="65" t="str">
        <f t="shared" si="45"/>
        <v>*-*/1T0407-17</v>
      </c>
      <c r="N311" s="159"/>
      <c r="O311" s="159"/>
      <c r="P311" s="75" t="s">
        <v>226</v>
      </c>
      <c r="Q311" s="162"/>
    </row>
    <row r="312" spans="2:17" ht="30" customHeight="1" x14ac:dyDescent="0.45">
      <c r="B312" s="87"/>
      <c r="C312" s="159"/>
      <c r="D312" s="89"/>
      <c r="E312" s="67" t="s">
        <v>20</v>
      </c>
      <c r="F312" s="77">
        <v>4</v>
      </c>
      <c r="G312" s="80">
        <v>7</v>
      </c>
      <c r="H312" s="69" t="str">
        <f t="shared" si="43"/>
        <v>1T0407</v>
      </c>
      <c r="I312" s="65">
        <f>I311+1</f>
        <v>18</v>
      </c>
      <c r="J312" s="65" t="str">
        <f t="shared" si="44"/>
        <v>18-1T0407/*-*</v>
      </c>
      <c r="K312" s="65" t="s">
        <v>33</v>
      </c>
      <c r="L312" s="65" t="s">
        <v>33</v>
      </c>
      <c r="M312" s="65" t="str">
        <f t="shared" si="45"/>
        <v>*-*/1T0407-18</v>
      </c>
      <c r="N312" s="159"/>
      <c r="O312" s="159"/>
      <c r="P312" s="75" t="s">
        <v>31</v>
      </c>
      <c r="Q312" s="162"/>
    </row>
    <row r="313" spans="2:17" ht="30" customHeight="1" x14ac:dyDescent="0.45">
      <c r="B313" s="87"/>
      <c r="C313" s="159"/>
      <c r="D313" s="89"/>
      <c r="E313" s="67" t="s">
        <v>21</v>
      </c>
      <c r="F313" s="77" t="s">
        <v>45</v>
      </c>
      <c r="G313" s="80" t="s">
        <v>45</v>
      </c>
      <c r="H313" s="69" t="s">
        <v>45</v>
      </c>
      <c r="I313" s="65" t="s">
        <v>45</v>
      </c>
      <c r="J313" s="65" t="s">
        <v>45</v>
      </c>
      <c r="K313" s="65" t="s">
        <v>45</v>
      </c>
      <c r="L313" s="65" t="s">
        <v>45</v>
      </c>
      <c r="M313" s="65" t="s">
        <v>45</v>
      </c>
      <c r="N313" s="159"/>
      <c r="O313" s="159"/>
      <c r="P313" s="75" t="s">
        <v>34</v>
      </c>
      <c r="Q313" s="162"/>
    </row>
    <row r="314" spans="2:17" ht="30" customHeight="1" x14ac:dyDescent="0.45">
      <c r="B314" s="87"/>
      <c r="C314" s="159"/>
      <c r="D314" s="89"/>
      <c r="E314" s="67" t="s">
        <v>30</v>
      </c>
      <c r="F314" s="77" t="s">
        <v>45</v>
      </c>
      <c r="G314" s="80" t="s">
        <v>45</v>
      </c>
      <c r="H314" s="69" t="s">
        <v>45</v>
      </c>
      <c r="I314" s="65" t="s">
        <v>45</v>
      </c>
      <c r="J314" s="65" t="s">
        <v>45</v>
      </c>
      <c r="K314" s="65" t="s">
        <v>45</v>
      </c>
      <c r="L314" s="65" t="s">
        <v>45</v>
      </c>
      <c r="M314" s="65" t="s">
        <v>45</v>
      </c>
      <c r="N314" s="159"/>
      <c r="O314" s="159"/>
      <c r="P314" s="75" t="s">
        <v>34</v>
      </c>
      <c r="Q314" s="163"/>
    </row>
    <row r="315" spans="2:17" ht="30" customHeight="1" x14ac:dyDescent="0.45">
      <c r="B315" s="87">
        <f>B305+1</f>
        <v>27</v>
      </c>
      <c r="C315" s="159" t="str">
        <f t="shared" si="47"/>
        <v>66KV-HT-BTC-01 - PLC</v>
      </c>
      <c r="D315" s="89" t="s">
        <v>286</v>
      </c>
      <c r="E315" s="67" t="s">
        <v>13</v>
      </c>
      <c r="F315" s="77">
        <v>3</v>
      </c>
      <c r="G315" s="80">
        <v>2</v>
      </c>
      <c r="H315" s="69" t="str">
        <f t="shared" si="43"/>
        <v>1T0302</v>
      </c>
      <c r="I315" s="65">
        <f t="shared" ref="I315" si="51">I309+1</f>
        <v>23</v>
      </c>
      <c r="J315" s="65" t="str">
        <f t="shared" si="44"/>
        <v>23-1T0302/*-*</v>
      </c>
      <c r="K315" s="65" t="s">
        <v>33</v>
      </c>
      <c r="L315" s="65" t="s">
        <v>33</v>
      </c>
      <c r="M315" s="65" t="str">
        <f t="shared" si="45"/>
        <v>*-*/1T0302-23</v>
      </c>
      <c r="N315" s="159" t="s">
        <v>281</v>
      </c>
      <c r="O315" s="159" t="s">
        <v>282</v>
      </c>
      <c r="P315" s="75" t="s">
        <v>41</v>
      </c>
      <c r="Q315" s="161" t="str" cm="1">
        <f t="array" ref="Q315">UPPER(
   "In PLC side, " &amp;
   _xlfn.TEXTJOIN(", ", TRUE,
      H315:INDEX(H315:H326, MATCH("COMMON",P315:P326,0)-2) &amp;
      ": " &amp;
      (I315:INDEX(I315:I326, MATCH("COMMON",P315:P326,0)-2)+1)
   ) &amp;
   " &amp; " &amp;
   INDEX(H315:H326, MATCH("COMMON",P315:P326,0)-1) &amp; ": " &amp;
   INDEX(I315:I326, MATCH("COMMON",P315:P326,0)-1)+1 &amp;
   " are already looped"
)</f>
        <v>IN PLC SIDE, 1T0302: 24, 1T0302: 26, 1T0303: 2, 1T0303: 4 &amp; 1T0303: 6 ARE ALREADY LOOPED</v>
      </c>
    </row>
    <row r="316" spans="2:17" ht="30" customHeight="1" x14ac:dyDescent="0.45">
      <c r="B316" s="87"/>
      <c r="C316" s="159"/>
      <c r="D316" s="89"/>
      <c r="E316" s="67" t="s">
        <v>14</v>
      </c>
      <c r="F316" s="77">
        <v>3</v>
      </c>
      <c r="G316" s="80">
        <v>2</v>
      </c>
      <c r="H316" s="69" t="str">
        <f t="shared" si="43"/>
        <v>1T0302</v>
      </c>
      <c r="I316" s="65">
        <f t="shared" ref="I316:I329" si="52">I315+2</f>
        <v>25</v>
      </c>
      <c r="J316" s="65" t="str">
        <f t="shared" si="44"/>
        <v>25-1T0302/*-*</v>
      </c>
      <c r="K316" s="65" t="s">
        <v>33</v>
      </c>
      <c r="L316" s="65" t="s">
        <v>33</v>
      </c>
      <c r="M316" s="65" t="str">
        <f t="shared" si="45"/>
        <v>*-*/1T0302-25</v>
      </c>
      <c r="N316" s="159"/>
      <c r="O316" s="159"/>
      <c r="P316" s="75" t="s">
        <v>42</v>
      </c>
      <c r="Q316" s="162"/>
    </row>
    <row r="317" spans="2:17" ht="30" customHeight="1" x14ac:dyDescent="0.45">
      <c r="B317" s="87"/>
      <c r="C317" s="159"/>
      <c r="D317" s="89"/>
      <c r="E317" s="67" t="s">
        <v>15</v>
      </c>
      <c r="F317" s="77">
        <v>3</v>
      </c>
      <c r="G317" s="80">
        <v>3</v>
      </c>
      <c r="H317" s="69" t="str">
        <f t="shared" si="43"/>
        <v>1T0303</v>
      </c>
      <c r="I317" s="65">
        <v>1</v>
      </c>
      <c r="J317" s="65" t="str">
        <f t="shared" si="44"/>
        <v>1-1T0303/*-*</v>
      </c>
      <c r="K317" s="65" t="s">
        <v>33</v>
      </c>
      <c r="L317" s="65" t="s">
        <v>33</v>
      </c>
      <c r="M317" s="65" t="str">
        <f t="shared" si="45"/>
        <v>*-*/1T0303-1</v>
      </c>
      <c r="N317" s="159"/>
      <c r="O317" s="159"/>
      <c r="P317" s="75" t="s">
        <v>283</v>
      </c>
      <c r="Q317" s="162"/>
    </row>
    <row r="318" spans="2:17" ht="30" customHeight="1" x14ac:dyDescent="0.45">
      <c r="B318" s="87"/>
      <c r="C318" s="159"/>
      <c r="D318" s="89"/>
      <c r="E318" s="67" t="s">
        <v>16</v>
      </c>
      <c r="F318" s="77">
        <v>3</v>
      </c>
      <c r="G318" s="80">
        <v>3</v>
      </c>
      <c r="H318" s="69" t="str">
        <f t="shared" si="43"/>
        <v>1T0303</v>
      </c>
      <c r="I318" s="65">
        <f t="shared" si="52"/>
        <v>3</v>
      </c>
      <c r="J318" s="65" t="str">
        <f t="shared" si="44"/>
        <v>3-1T0303/*-*</v>
      </c>
      <c r="K318" s="65" t="s">
        <v>33</v>
      </c>
      <c r="L318" s="65" t="s">
        <v>33</v>
      </c>
      <c r="M318" s="65" t="str">
        <f t="shared" si="45"/>
        <v>*-*/1T0303-3</v>
      </c>
      <c r="N318" s="159"/>
      <c r="O318" s="159"/>
      <c r="P318" s="75" t="s">
        <v>284</v>
      </c>
      <c r="Q318" s="162"/>
    </row>
    <row r="319" spans="2:17" ht="30" customHeight="1" x14ac:dyDescent="0.45">
      <c r="B319" s="87"/>
      <c r="C319" s="159"/>
      <c r="D319" s="89"/>
      <c r="E319" s="67" t="s">
        <v>17</v>
      </c>
      <c r="F319" s="77">
        <v>3</v>
      </c>
      <c r="G319" s="80">
        <v>3</v>
      </c>
      <c r="H319" s="69" t="str">
        <f t="shared" si="43"/>
        <v>1T0303</v>
      </c>
      <c r="I319" s="65">
        <f t="shared" si="52"/>
        <v>5</v>
      </c>
      <c r="J319" s="65" t="str">
        <f t="shared" si="44"/>
        <v>5-1T0303/*-*</v>
      </c>
      <c r="K319" s="65" t="s">
        <v>33</v>
      </c>
      <c r="L319" s="65" t="s">
        <v>33</v>
      </c>
      <c r="M319" s="65" t="str">
        <f t="shared" si="45"/>
        <v>*-*/1T0303-5</v>
      </c>
      <c r="N319" s="159"/>
      <c r="O319" s="159"/>
      <c r="P319" s="75" t="s">
        <v>285</v>
      </c>
      <c r="Q319" s="162"/>
    </row>
    <row r="320" spans="2:17" ht="30" customHeight="1" x14ac:dyDescent="0.45">
      <c r="B320" s="87"/>
      <c r="C320" s="159"/>
      <c r="D320" s="89"/>
      <c r="E320" s="67" t="s">
        <v>18</v>
      </c>
      <c r="F320" s="77">
        <v>3</v>
      </c>
      <c r="G320" s="80">
        <v>3</v>
      </c>
      <c r="H320" s="69" t="str">
        <f t="shared" si="43"/>
        <v>1T0303</v>
      </c>
      <c r="I320" s="65">
        <f>I319+1</f>
        <v>6</v>
      </c>
      <c r="J320" s="65" t="str">
        <f t="shared" si="44"/>
        <v>6-1T0303/*-*</v>
      </c>
      <c r="K320" s="65" t="s">
        <v>33</v>
      </c>
      <c r="L320" s="65" t="s">
        <v>33</v>
      </c>
      <c r="M320" s="65" t="str">
        <f t="shared" si="45"/>
        <v>*-*/1T0303-6</v>
      </c>
      <c r="N320" s="159"/>
      <c r="O320" s="159"/>
      <c r="P320" s="75" t="s">
        <v>31</v>
      </c>
      <c r="Q320" s="162"/>
    </row>
    <row r="321" spans="2:17" ht="30" customHeight="1" x14ac:dyDescent="0.45">
      <c r="B321" s="87"/>
      <c r="C321" s="159"/>
      <c r="D321" s="89"/>
      <c r="E321" s="67" t="s">
        <v>19</v>
      </c>
      <c r="F321" s="77" t="s">
        <v>45</v>
      </c>
      <c r="G321" s="80" t="s">
        <v>45</v>
      </c>
      <c r="H321" s="69" t="s">
        <v>45</v>
      </c>
      <c r="I321" s="65" t="s">
        <v>33</v>
      </c>
      <c r="J321" s="65" t="s">
        <v>45</v>
      </c>
      <c r="K321" s="65" t="s">
        <v>45</v>
      </c>
      <c r="L321" s="65" t="s">
        <v>45</v>
      </c>
      <c r="M321" s="65" t="s">
        <v>45</v>
      </c>
      <c r="N321" s="159"/>
      <c r="O321" s="159"/>
      <c r="P321" s="75" t="s">
        <v>34</v>
      </c>
      <c r="Q321" s="162"/>
    </row>
    <row r="322" spans="2:17" ht="30" customHeight="1" x14ac:dyDescent="0.45">
      <c r="B322" s="87"/>
      <c r="C322" s="159"/>
      <c r="D322" s="89"/>
      <c r="E322" s="67" t="s">
        <v>20</v>
      </c>
      <c r="F322" s="77" t="s">
        <v>45</v>
      </c>
      <c r="G322" s="80" t="s">
        <v>45</v>
      </c>
      <c r="H322" s="69" t="s">
        <v>45</v>
      </c>
      <c r="I322" s="65" t="s">
        <v>33</v>
      </c>
      <c r="J322" s="65" t="s">
        <v>45</v>
      </c>
      <c r="K322" s="65" t="s">
        <v>45</v>
      </c>
      <c r="L322" s="65" t="s">
        <v>45</v>
      </c>
      <c r="M322" s="65" t="s">
        <v>45</v>
      </c>
      <c r="N322" s="159"/>
      <c r="O322" s="159"/>
      <c r="P322" s="75" t="s">
        <v>34</v>
      </c>
      <c r="Q322" s="162"/>
    </row>
    <row r="323" spans="2:17" ht="30" customHeight="1" x14ac:dyDescent="0.45">
      <c r="B323" s="87"/>
      <c r="C323" s="159"/>
      <c r="D323" s="89"/>
      <c r="E323" s="67" t="s">
        <v>21</v>
      </c>
      <c r="F323" s="77" t="s">
        <v>45</v>
      </c>
      <c r="G323" s="80" t="s">
        <v>45</v>
      </c>
      <c r="H323" s="69" t="s">
        <v>45</v>
      </c>
      <c r="I323" s="65" t="s">
        <v>45</v>
      </c>
      <c r="J323" s="65" t="s">
        <v>45</v>
      </c>
      <c r="K323" s="65" t="s">
        <v>45</v>
      </c>
      <c r="L323" s="65" t="s">
        <v>45</v>
      </c>
      <c r="M323" s="65" t="s">
        <v>45</v>
      </c>
      <c r="N323" s="159"/>
      <c r="O323" s="159"/>
      <c r="P323" s="75" t="s">
        <v>34</v>
      </c>
      <c r="Q323" s="162"/>
    </row>
    <row r="324" spans="2:17" ht="30" customHeight="1" x14ac:dyDescent="0.45">
      <c r="B324" s="87"/>
      <c r="C324" s="159"/>
      <c r="D324" s="89"/>
      <c r="E324" s="67" t="s">
        <v>30</v>
      </c>
      <c r="F324" s="77" t="s">
        <v>45</v>
      </c>
      <c r="G324" s="80" t="s">
        <v>45</v>
      </c>
      <c r="H324" s="69" t="s">
        <v>45</v>
      </c>
      <c r="I324" s="65" t="s">
        <v>45</v>
      </c>
      <c r="J324" s="65" t="s">
        <v>45</v>
      </c>
      <c r="K324" s="65" t="s">
        <v>45</v>
      </c>
      <c r="L324" s="65" t="s">
        <v>45</v>
      </c>
      <c r="M324" s="65" t="s">
        <v>45</v>
      </c>
      <c r="N324" s="159"/>
      <c r="O324" s="159"/>
      <c r="P324" s="75" t="s">
        <v>34</v>
      </c>
      <c r="Q324" s="163"/>
    </row>
    <row r="325" spans="2:17" ht="30" customHeight="1" x14ac:dyDescent="0.45">
      <c r="B325" s="87">
        <f>B315+1</f>
        <v>28</v>
      </c>
      <c r="C325" s="159" t="str">
        <f t="shared" ref="C325" si="53">N325&amp;" - PLC"</f>
        <v>6.6KV-HT-BTC-01 - PLC</v>
      </c>
      <c r="D325" s="89" t="s">
        <v>286</v>
      </c>
      <c r="E325" s="67" t="s">
        <v>13</v>
      </c>
      <c r="F325" s="77">
        <v>3</v>
      </c>
      <c r="G325" s="80">
        <v>3</v>
      </c>
      <c r="H325" s="69" t="str">
        <f t="shared" si="43"/>
        <v>1T0303</v>
      </c>
      <c r="I325" s="65">
        <f>I320+1</f>
        <v>7</v>
      </c>
      <c r="J325" s="65" t="str">
        <f t="shared" si="44"/>
        <v>7-1T0303/*-*</v>
      </c>
      <c r="K325" s="65" t="s">
        <v>33</v>
      </c>
      <c r="L325" s="65" t="s">
        <v>33</v>
      </c>
      <c r="M325" s="65" t="str">
        <f t="shared" si="45"/>
        <v>*-*/1T0303-7</v>
      </c>
      <c r="N325" s="159" t="s">
        <v>287</v>
      </c>
      <c r="O325" s="159" t="s">
        <v>288</v>
      </c>
      <c r="P325" s="75" t="s">
        <v>41</v>
      </c>
      <c r="Q325" s="161" t="str" cm="1">
        <f t="array" ref="Q325">UPPER(
   "In PLC side, " &amp;
   _xlfn.TEXTJOIN(", ", TRUE,
      H325:INDEX(H325:H336, MATCH("COMMON",P325:P336,0)-2) &amp;
      ": " &amp;
      (I325:INDEX(I325:I336, MATCH("COMMON",P325:P336,0)-2)+1)
   ) &amp;
   " &amp; " &amp;
   INDEX(H325:H336, MATCH("COMMON",P325:P336,0)-1) &amp; ": " &amp;
   INDEX(I325:I336, MATCH("COMMON",P325:P336,0)-1)+1 &amp;
   " are already looped"
)</f>
        <v>IN PLC SIDE, 1T0303: 8, 1T0303: 10, 1T0303: 12, 1T0303: 14 &amp; 1T0303: 16 ARE ALREADY LOOPED</v>
      </c>
    </row>
    <row r="326" spans="2:17" ht="30" customHeight="1" x14ac:dyDescent="0.45">
      <c r="B326" s="87"/>
      <c r="C326" s="159"/>
      <c r="D326" s="89"/>
      <c r="E326" s="67" t="s">
        <v>14</v>
      </c>
      <c r="F326" s="77">
        <v>3</v>
      </c>
      <c r="G326" s="80">
        <v>3</v>
      </c>
      <c r="H326" s="69" t="str">
        <f t="shared" si="43"/>
        <v>1T0303</v>
      </c>
      <c r="I326" s="65">
        <f t="shared" si="52"/>
        <v>9</v>
      </c>
      <c r="J326" s="65" t="str">
        <f t="shared" si="44"/>
        <v>9-1T0303/*-*</v>
      </c>
      <c r="K326" s="65" t="s">
        <v>33</v>
      </c>
      <c r="L326" s="65" t="s">
        <v>33</v>
      </c>
      <c r="M326" s="65" t="str">
        <f t="shared" si="45"/>
        <v>*-*/1T0303-9</v>
      </c>
      <c r="N326" s="159"/>
      <c r="O326" s="159"/>
      <c r="P326" s="75" t="s">
        <v>42</v>
      </c>
      <c r="Q326" s="162"/>
    </row>
    <row r="327" spans="2:17" ht="30" customHeight="1" x14ac:dyDescent="0.45">
      <c r="B327" s="87"/>
      <c r="C327" s="159"/>
      <c r="D327" s="89"/>
      <c r="E327" s="67" t="s">
        <v>15</v>
      </c>
      <c r="F327" s="77">
        <v>3</v>
      </c>
      <c r="G327" s="80">
        <v>3</v>
      </c>
      <c r="H327" s="69" t="str">
        <f t="shared" si="43"/>
        <v>1T0303</v>
      </c>
      <c r="I327" s="65">
        <f t="shared" si="52"/>
        <v>11</v>
      </c>
      <c r="J327" s="65" t="str">
        <f t="shared" si="44"/>
        <v>11-1T0303/*-*</v>
      </c>
      <c r="K327" s="65" t="s">
        <v>33</v>
      </c>
      <c r="L327" s="65" t="s">
        <v>33</v>
      </c>
      <c r="M327" s="65" t="str">
        <f t="shared" si="45"/>
        <v>*-*/1T0303-11</v>
      </c>
      <c r="N327" s="159"/>
      <c r="O327" s="159"/>
      <c r="P327" s="75" t="s">
        <v>283</v>
      </c>
      <c r="Q327" s="162"/>
    </row>
    <row r="328" spans="2:17" ht="30" customHeight="1" x14ac:dyDescent="0.45">
      <c r="B328" s="87"/>
      <c r="C328" s="159"/>
      <c r="D328" s="89"/>
      <c r="E328" s="67" t="s">
        <v>16</v>
      </c>
      <c r="F328" s="77">
        <v>3</v>
      </c>
      <c r="G328" s="80">
        <v>3</v>
      </c>
      <c r="H328" s="69" t="str">
        <f t="shared" si="43"/>
        <v>1T0303</v>
      </c>
      <c r="I328" s="65">
        <f t="shared" si="52"/>
        <v>13</v>
      </c>
      <c r="J328" s="65" t="str">
        <f t="shared" si="44"/>
        <v>13-1T0303/*-*</v>
      </c>
      <c r="K328" s="65" t="s">
        <v>33</v>
      </c>
      <c r="L328" s="65" t="s">
        <v>33</v>
      </c>
      <c r="M328" s="65" t="str">
        <f t="shared" si="45"/>
        <v>*-*/1T0303-13</v>
      </c>
      <c r="N328" s="159"/>
      <c r="O328" s="159"/>
      <c r="P328" s="75" t="s">
        <v>284</v>
      </c>
      <c r="Q328" s="162"/>
    </row>
    <row r="329" spans="2:17" ht="30" customHeight="1" x14ac:dyDescent="0.45">
      <c r="B329" s="87"/>
      <c r="C329" s="159"/>
      <c r="D329" s="89"/>
      <c r="E329" s="67" t="s">
        <v>17</v>
      </c>
      <c r="F329" s="77">
        <v>3</v>
      </c>
      <c r="G329" s="80">
        <v>3</v>
      </c>
      <c r="H329" s="69" t="str">
        <f t="shared" ref="H329:H340" si="54">"1T"&amp;TEXT(F329,"00")&amp;TEXT(G329,"00")</f>
        <v>1T0303</v>
      </c>
      <c r="I329" s="65">
        <f t="shared" si="52"/>
        <v>15</v>
      </c>
      <c r="J329" s="65" t="str">
        <f t="shared" ref="J329:J340" si="55">CONCATENATE(I329,"-",H329,"/",K329,"-",L329)</f>
        <v>15-1T0303/*-*</v>
      </c>
      <c r="K329" s="65" t="s">
        <v>33</v>
      </c>
      <c r="L329" s="65" t="s">
        <v>33</v>
      </c>
      <c r="M329" s="65" t="str">
        <f t="shared" ref="M329:M340" si="56">CONCATENATE(L329,"-",K329,"/",H329,"-",I329)</f>
        <v>*-*/1T0303-15</v>
      </c>
      <c r="N329" s="159"/>
      <c r="O329" s="159"/>
      <c r="P329" s="75" t="s">
        <v>285</v>
      </c>
      <c r="Q329" s="162"/>
    </row>
    <row r="330" spans="2:17" ht="30" customHeight="1" x14ac:dyDescent="0.45">
      <c r="B330" s="87"/>
      <c r="C330" s="159"/>
      <c r="D330" s="89"/>
      <c r="E330" s="67" t="s">
        <v>18</v>
      </c>
      <c r="F330" s="77">
        <v>3</v>
      </c>
      <c r="G330" s="80">
        <v>3</v>
      </c>
      <c r="H330" s="69" t="str">
        <f t="shared" si="54"/>
        <v>1T0303</v>
      </c>
      <c r="I330" s="65">
        <f>I329+1</f>
        <v>16</v>
      </c>
      <c r="J330" s="65" t="str">
        <f t="shared" si="55"/>
        <v>16-1T0303/*-*</v>
      </c>
      <c r="K330" s="65" t="s">
        <v>33</v>
      </c>
      <c r="L330" s="65" t="s">
        <v>33</v>
      </c>
      <c r="M330" s="65" t="str">
        <f t="shared" si="56"/>
        <v>*-*/1T0303-16</v>
      </c>
      <c r="N330" s="159"/>
      <c r="O330" s="159"/>
      <c r="P330" s="75" t="s">
        <v>31</v>
      </c>
      <c r="Q330" s="162"/>
    </row>
    <row r="331" spans="2:17" ht="30" customHeight="1" x14ac:dyDescent="0.45">
      <c r="B331" s="87"/>
      <c r="C331" s="159"/>
      <c r="D331" s="89"/>
      <c r="E331" s="67" t="s">
        <v>19</v>
      </c>
      <c r="F331" s="77" t="s">
        <v>45</v>
      </c>
      <c r="G331" s="80" t="s">
        <v>45</v>
      </c>
      <c r="H331" s="69" t="s">
        <v>45</v>
      </c>
      <c r="I331" s="65" t="s">
        <v>45</v>
      </c>
      <c r="J331" s="65" t="s">
        <v>45</v>
      </c>
      <c r="K331" s="65" t="s">
        <v>45</v>
      </c>
      <c r="L331" s="65" t="s">
        <v>45</v>
      </c>
      <c r="M331" s="65" t="s">
        <v>45</v>
      </c>
      <c r="N331" s="159"/>
      <c r="O331" s="159"/>
      <c r="P331" s="75" t="s">
        <v>34</v>
      </c>
      <c r="Q331" s="162"/>
    </row>
    <row r="332" spans="2:17" ht="30" customHeight="1" x14ac:dyDescent="0.45">
      <c r="B332" s="87"/>
      <c r="C332" s="159"/>
      <c r="D332" s="89"/>
      <c r="E332" s="67" t="s">
        <v>20</v>
      </c>
      <c r="F332" s="77" t="s">
        <v>45</v>
      </c>
      <c r="G332" s="80" t="s">
        <v>45</v>
      </c>
      <c r="H332" s="69" t="s">
        <v>45</v>
      </c>
      <c r="I332" s="65" t="s">
        <v>45</v>
      </c>
      <c r="J332" s="65" t="s">
        <v>45</v>
      </c>
      <c r="K332" s="65" t="s">
        <v>45</v>
      </c>
      <c r="L332" s="65" t="s">
        <v>45</v>
      </c>
      <c r="M332" s="65" t="s">
        <v>45</v>
      </c>
      <c r="N332" s="159"/>
      <c r="O332" s="159"/>
      <c r="P332" s="75" t="s">
        <v>34</v>
      </c>
      <c r="Q332" s="162"/>
    </row>
    <row r="333" spans="2:17" ht="30" customHeight="1" x14ac:dyDescent="0.45">
      <c r="B333" s="87"/>
      <c r="C333" s="159"/>
      <c r="D333" s="89"/>
      <c r="E333" s="67" t="s">
        <v>21</v>
      </c>
      <c r="F333" s="77" t="s">
        <v>45</v>
      </c>
      <c r="G333" s="80" t="s">
        <v>45</v>
      </c>
      <c r="H333" s="69" t="s">
        <v>45</v>
      </c>
      <c r="I333" s="65" t="s">
        <v>45</v>
      </c>
      <c r="J333" s="65" t="s">
        <v>45</v>
      </c>
      <c r="K333" s="65" t="s">
        <v>45</v>
      </c>
      <c r="L333" s="65" t="s">
        <v>45</v>
      </c>
      <c r="M333" s="65" t="s">
        <v>45</v>
      </c>
      <c r="N333" s="159"/>
      <c r="O333" s="159"/>
      <c r="P333" s="75" t="s">
        <v>34</v>
      </c>
      <c r="Q333" s="162"/>
    </row>
    <row r="334" spans="2:17" ht="30" customHeight="1" x14ac:dyDescent="0.45">
      <c r="B334" s="87"/>
      <c r="C334" s="159"/>
      <c r="D334" s="89"/>
      <c r="E334" s="67" t="s">
        <v>30</v>
      </c>
      <c r="F334" s="77" t="s">
        <v>45</v>
      </c>
      <c r="G334" s="80" t="s">
        <v>45</v>
      </c>
      <c r="H334" s="69" t="s">
        <v>45</v>
      </c>
      <c r="I334" s="65" t="s">
        <v>45</v>
      </c>
      <c r="J334" s="65" t="s">
        <v>45</v>
      </c>
      <c r="K334" s="65" t="s">
        <v>45</v>
      </c>
      <c r="L334" s="65" t="s">
        <v>45</v>
      </c>
      <c r="M334" s="65" t="s">
        <v>45</v>
      </c>
      <c r="N334" s="159"/>
      <c r="O334" s="159"/>
      <c r="P334" s="75" t="s">
        <v>34</v>
      </c>
      <c r="Q334" s="163"/>
    </row>
    <row r="335" spans="2:17" ht="30" customHeight="1" x14ac:dyDescent="0.45">
      <c r="B335" s="87">
        <f>B325+1</f>
        <v>29</v>
      </c>
      <c r="C335" s="159" t="str">
        <f t="shared" ref="C335" si="57">N335&amp;" - PLC"</f>
        <v>UPS-01 - PLC</v>
      </c>
      <c r="D335" s="89" t="s">
        <v>286</v>
      </c>
      <c r="E335" s="67" t="s">
        <v>13</v>
      </c>
      <c r="F335" s="77">
        <v>3</v>
      </c>
      <c r="G335" s="80">
        <v>3</v>
      </c>
      <c r="H335" s="69" t="str">
        <f t="shared" si="54"/>
        <v>1T0303</v>
      </c>
      <c r="I335" s="65">
        <f>I330+1</f>
        <v>17</v>
      </c>
      <c r="J335" s="65" t="str">
        <f t="shared" si="55"/>
        <v>17-1T0303/*-*</v>
      </c>
      <c r="K335" s="65" t="s">
        <v>33</v>
      </c>
      <c r="L335" s="65" t="s">
        <v>33</v>
      </c>
      <c r="M335" s="65" t="str">
        <f t="shared" si="56"/>
        <v>*-*/1T0303-17</v>
      </c>
      <c r="N335" s="159" t="s">
        <v>289</v>
      </c>
      <c r="O335" s="159" t="s">
        <v>290</v>
      </c>
      <c r="P335" s="75" t="s">
        <v>291</v>
      </c>
      <c r="Q335" s="161" t="str" cm="1">
        <f t="array" ref="Q335">UPPER(
   "In PLC side, " &amp;
   _xlfn.TEXTJOIN(", ", TRUE,
      H335:INDEX(H335:H346, MATCH("COMMON",P335:P346,0)-2) &amp;
      ": " &amp;
      (I335:INDEX(I335:I346, MATCH("COMMON",P335:P346,0)-2)+1)
   ) &amp;
   " &amp; " &amp;
   INDEX(H335:H346, MATCH("COMMON",P335:P346,0)-1) &amp; ": " &amp;
   INDEX(I335:I346, MATCH("COMMON",P335:P346,0)-1)+1 &amp;
   " are already looped"
)</f>
        <v>IN PLC SIDE, 1T0303: 18, 1T0303: 20, 1T0303: 22, 1T0303: 24 &amp; 1T0303: 26 ARE ALREADY LOOPED</v>
      </c>
    </row>
    <row r="336" spans="2:17" ht="30" customHeight="1" x14ac:dyDescent="0.45">
      <c r="B336" s="87"/>
      <c r="C336" s="159"/>
      <c r="D336" s="89"/>
      <c r="E336" s="67" t="s">
        <v>14</v>
      </c>
      <c r="F336" s="77">
        <v>3</v>
      </c>
      <c r="G336" s="80">
        <v>3</v>
      </c>
      <c r="H336" s="69" t="str">
        <f t="shared" si="54"/>
        <v>1T0303</v>
      </c>
      <c r="I336" s="65">
        <f t="shared" ref="I336:I339" si="58">I335+2</f>
        <v>19</v>
      </c>
      <c r="J336" s="65" t="str">
        <f t="shared" si="55"/>
        <v>19-1T0303/*-*</v>
      </c>
      <c r="K336" s="65" t="s">
        <v>33</v>
      </c>
      <c r="L336" s="65" t="s">
        <v>33</v>
      </c>
      <c r="M336" s="65" t="str">
        <f t="shared" si="56"/>
        <v>*-*/1T0303-19</v>
      </c>
      <c r="N336" s="159"/>
      <c r="O336" s="159"/>
      <c r="P336" s="75" t="s">
        <v>292</v>
      </c>
      <c r="Q336" s="162"/>
    </row>
    <row r="337" spans="2:17" ht="30" customHeight="1" x14ac:dyDescent="0.45">
      <c r="B337" s="87"/>
      <c r="C337" s="159"/>
      <c r="D337" s="89"/>
      <c r="E337" s="67" t="s">
        <v>15</v>
      </c>
      <c r="F337" s="77">
        <v>3</v>
      </c>
      <c r="G337" s="80">
        <v>3</v>
      </c>
      <c r="H337" s="69" t="str">
        <f t="shared" si="54"/>
        <v>1T0303</v>
      </c>
      <c r="I337" s="65">
        <f t="shared" si="58"/>
        <v>21</v>
      </c>
      <c r="J337" s="65" t="str">
        <f t="shared" si="55"/>
        <v>21-1T0303/*-*</v>
      </c>
      <c r="K337" s="65" t="s">
        <v>33</v>
      </c>
      <c r="L337" s="65" t="s">
        <v>33</v>
      </c>
      <c r="M337" s="65" t="str">
        <f t="shared" si="56"/>
        <v>*-*/1T0303-21</v>
      </c>
      <c r="N337" s="159"/>
      <c r="O337" s="159"/>
      <c r="P337" s="75" t="s">
        <v>293</v>
      </c>
      <c r="Q337" s="162"/>
    </row>
    <row r="338" spans="2:17" ht="30" customHeight="1" x14ac:dyDescent="0.45">
      <c r="B338" s="87"/>
      <c r="C338" s="159"/>
      <c r="D338" s="89"/>
      <c r="E338" s="67" t="s">
        <v>16</v>
      </c>
      <c r="F338" s="77">
        <v>3</v>
      </c>
      <c r="G338" s="80">
        <v>3</v>
      </c>
      <c r="H338" s="69" t="str">
        <f t="shared" si="54"/>
        <v>1T0303</v>
      </c>
      <c r="I338" s="65">
        <f t="shared" si="58"/>
        <v>23</v>
      </c>
      <c r="J338" s="65" t="str">
        <f t="shared" si="55"/>
        <v>23-1T0303/*-*</v>
      </c>
      <c r="K338" s="65" t="s">
        <v>33</v>
      </c>
      <c r="L338" s="65" t="s">
        <v>33</v>
      </c>
      <c r="M338" s="65" t="str">
        <f t="shared" si="56"/>
        <v>*-*/1T0303-23</v>
      </c>
      <c r="N338" s="159"/>
      <c r="O338" s="159"/>
      <c r="P338" s="75" t="s">
        <v>294</v>
      </c>
      <c r="Q338" s="162"/>
    </row>
    <row r="339" spans="2:17" ht="30" customHeight="1" x14ac:dyDescent="0.45">
      <c r="B339" s="87"/>
      <c r="C339" s="159"/>
      <c r="D339" s="89"/>
      <c r="E339" s="67" t="s">
        <v>17</v>
      </c>
      <c r="F339" s="77">
        <v>3</v>
      </c>
      <c r="G339" s="80">
        <v>3</v>
      </c>
      <c r="H339" s="69" t="str">
        <f t="shared" si="54"/>
        <v>1T0303</v>
      </c>
      <c r="I339" s="65">
        <f t="shared" si="58"/>
        <v>25</v>
      </c>
      <c r="J339" s="65" t="str">
        <f t="shared" si="55"/>
        <v>25-1T0303/*-*</v>
      </c>
      <c r="K339" s="65" t="s">
        <v>33</v>
      </c>
      <c r="L339" s="65" t="s">
        <v>33</v>
      </c>
      <c r="M339" s="65" t="str">
        <f t="shared" si="56"/>
        <v>*-*/1T0303-25</v>
      </c>
      <c r="N339" s="159"/>
      <c r="O339" s="159"/>
      <c r="P339" s="75" t="s">
        <v>295</v>
      </c>
      <c r="Q339" s="162"/>
    </row>
    <row r="340" spans="2:17" ht="30" customHeight="1" x14ac:dyDescent="0.45">
      <c r="B340" s="87"/>
      <c r="C340" s="159"/>
      <c r="D340" s="89"/>
      <c r="E340" s="67" t="s">
        <v>18</v>
      </c>
      <c r="F340" s="77">
        <v>3</v>
      </c>
      <c r="G340" s="80">
        <v>3</v>
      </c>
      <c r="H340" s="69" t="str">
        <f t="shared" si="54"/>
        <v>1T0303</v>
      </c>
      <c r="I340" s="65">
        <f>I339+1</f>
        <v>26</v>
      </c>
      <c r="J340" s="65" t="str">
        <f t="shared" si="55"/>
        <v>26-1T0303/*-*</v>
      </c>
      <c r="K340" s="65" t="s">
        <v>33</v>
      </c>
      <c r="L340" s="65" t="s">
        <v>33</v>
      </c>
      <c r="M340" s="65" t="str">
        <f t="shared" si="56"/>
        <v>*-*/1T0303-26</v>
      </c>
      <c r="N340" s="159"/>
      <c r="O340" s="159"/>
      <c r="P340" s="75" t="s">
        <v>31</v>
      </c>
      <c r="Q340" s="162"/>
    </row>
    <row r="341" spans="2:17" ht="30" customHeight="1" x14ac:dyDescent="0.45">
      <c r="B341" s="87"/>
      <c r="C341" s="159"/>
      <c r="D341" s="89"/>
      <c r="E341" s="67" t="s">
        <v>19</v>
      </c>
      <c r="F341" s="77" t="s">
        <v>45</v>
      </c>
      <c r="G341" s="80" t="s">
        <v>45</v>
      </c>
      <c r="H341" s="69" t="s">
        <v>45</v>
      </c>
      <c r="I341" s="65" t="s">
        <v>45</v>
      </c>
      <c r="J341" s="65" t="s">
        <v>45</v>
      </c>
      <c r="K341" s="65" t="s">
        <v>45</v>
      </c>
      <c r="L341" s="65" t="s">
        <v>45</v>
      </c>
      <c r="M341" s="65" t="s">
        <v>45</v>
      </c>
      <c r="N341" s="159"/>
      <c r="O341" s="159"/>
      <c r="P341" s="75" t="s">
        <v>34</v>
      </c>
      <c r="Q341" s="162"/>
    </row>
    <row r="342" spans="2:17" ht="30" customHeight="1" x14ac:dyDescent="0.45">
      <c r="B342" s="87"/>
      <c r="C342" s="159"/>
      <c r="D342" s="89"/>
      <c r="E342" s="67" t="s">
        <v>20</v>
      </c>
      <c r="F342" s="77" t="s">
        <v>45</v>
      </c>
      <c r="G342" s="80" t="s">
        <v>45</v>
      </c>
      <c r="H342" s="69" t="s">
        <v>45</v>
      </c>
      <c r="I342" s="65" t="s">
        <v>45</v>
      </c>
      <c r="J342" s="65" t="s">
        <v>45</v>
      </c>
      <c r="K342" s="65" t="s">
        <v>45</v>
      </c>
      <c r="L342" s="65" t="s">
        <v>45</v>
      </c>
      <c r="M342" s="65" t="s">
        <v>45</v>
      </c>
      <c r="N342" s="159"/>
      <c r="O342" s="159"/>
      <c r="P342" s="75" t="s">
        <v>34</v>
      </c>
      <c r="Q342" s="162"/>
    </row>
    <row r="343" spans="2:17" ht="30" customHeight="1" x14ac:dyDescent="0.45">
      <c r="B343" s="87"/>
      <c r="C343" s="159"/>
      <c r="D343" s="89"/>
      <c r="E343" s="67" t="s">
        <v>21</v>
      </c>
      <c r="F343" s="77" t="s">
        <v>45</v>
      </c>
      <c r="G343" s="80" t="s">
        <v>45</v>
      </c>
      <c r="H343" s="69" t="s">
        <v>45</v>
      </c>
      <c r="I343" s="65" t="s">
        <v>45</v>
      </c>
      <c r="J343" s="65" t="s">
        <v>45</v>
      </c>
      <c r="K343" s="65" t="s">
        <v>45</v>
      </c>
      <c r="L343" s="65" t="s">
        <v>45</v>
      </c>
      <c r="M343" s="65" t="s">
        <v>45</v>
      </c>
      <c r="N343" s="159"/>
      <c r="O343" s="159"/>
      <c r="P343" s="75" t="s">
        <v>34</v>
      </c>
      <c r="Q343" s="162"/>
    </row>
    <row r="344" spans="2:17" ht="30" customHeight="1" x14ac:dyDescent="0.45">
      <c r="B344" s="87"/>
      <c r="C344" s="159"/>
      <c r="D344" s="89"/>
      <c r="E344" s="67" t="s">
        <v>30</v>
      </c>
      <c r="F344" s="77" t="s">
        <v>45</v>
      </c>
      <c r="G344" s="80" t="s">
        <v>45</v>
      </c>
      <c r="H344" s="69" t="s">
        <v>45</v>
      </c>
      <c r="I344" s="65" t="s">
        <v>45</v>
      </c>
      <c r="J344" s="65" t="s">
        <v>45</v>
      </c>
      <c r="K344" s="65" t="s">
        <v>45</v>
      </c>
      <c r="L344" s="65" t="s">
        <v>45</v>
      </c>
      <c r="M344" s="65" t="s">
        <v>45</v>
      </c>
      <c r="N344" s="159"/>
      <c r="O344" s="159"/>
      <c r="P344" s="75" t="s">
        <v>34</v>
      </c>
      <c r="Q344" s="163"/>
    </row>
    <row r="345" spans="2:17" ht="70.05" customHeight="1" x14ac:dyDescent="0.3">
      <c r="B345" s="90" t="s">
        <v>328</v>
      </c>
      <c r="C345" s="90"/>
      <c r="D345" s="90"/>
      <c r="E345" s="90"/>
      <c r="F345" s="90"/>
      <c r="G345" s="90"/>
      <c r="H345" s="90"/>
      <c r="I345" s="90"/>
      <c r="J345" s="90"/>
      <c r="K345" s="90"/>
      <c r="L345" s="90"/>
      <c r="M345" s="90"/>
      <c r="N345" s="90"/>
      <c r="O345" s="90"/>
      <c r="P345" s="90"/>
      <c r="Q345" s="90"/>
    </row>
    <row r="346" spans="2:17" ht="30" customHeight="1" x14ac:dyDescent="0.45"/>
    <row r="347" spans="2:17" ht="30" customHeight="1" x14ac:dyDescent="0.45"/>
    <row r="348" spans="2:17" ht="30" customHeight="1" x14ac:dyDescent="0.45"/>
    <row r="349" spans="2:17" ht="30" customHeight="1" x14ac:dyDescent="0.45"/>
    <row r="350" spans="2:17" ht="30" customHeight="1" x14ac:dyDescent="0.45"/>
    <row r="351" spans="2:17" ht="30" customHeight="1" x14ac:dyDescent="0.45"/>
    <row r="352" spans="2:17" ht="30" customHeight="1" x14ac:dyDescent="0.45"/>
    <row r="353" spans="2:17" ht="30" customHeight="1" x14ac:dyDescent="0.45"/>
    <row r="354" spans="2:17" ht="30" customHeight="1" x14ac:dyDescent="0.45"/>
    <row r="355" spans="2:17" ht="30" customHeight="1" x14ac:dyDescent="0.45"/>
    <row r="356" spans="2:17" customFormat="1" ht="49.95" customHeight="1" x14ac:dyDescent="0.45">
      <c r="B356" s="66"/>
      <c r="C356" s="66"/>
      <c r="D356" s="66"/>
      <c r="E356" s="66"/>
      <c r="F356" s="66"/>
      <c r="G356" s="66"/>
      <c r="H356" s="78"/>
      <c r="I356" s="66"/>
      <c r="J356" s="66"/>
      <c r="K356" s="66"/>
      <c r="L356" s="66"/>
      <c r="M356" s="66"/>
      <c r="N356" s="79"/>
      <c r="O356" s="66"/>
      <c r="P356" s="66"/>
      <c r="Q356" s="66"/>
    </row>
  </sheetData>
  <mergeCells count="216">
    <mergeCell ref="B7:Q7"/>
    <mergeCell ref="B345:Q345"/>
    <mergeCell ref="H2:N2"/>
    <mergeCell ref="H3:N3"/>
    <mergeCell ref="O4:Q4"/>
    <mergeCell ref="C5:I5"/>
    <mergeCell ref="J5:J6"/>
    <mergeCell ref="K5:L5"/>
    <mergeCell ref="M5:M6"/>
    <mergeCell ref="N5:P5"/>
    <mergeCell ref="C3:G3"/>
    <mergeCell ref="O2:Q2"/>
    <mergeCell ref="O3:Q3"/>
    <mergeCell ref="B4:G4"/>
    <mergeCell ref="H4:N4"/>
    <mergeCell ref="B2:G2"/>
    <mergeCell ref="Q5:Q6"/>
    <mergeCell ref="B5:B6"/>
    <mergeCell ref="B144:B155"/>
    <mergeCell ref="Q110:Q114"/>
    <mergeCell ref="Q115:Q119"/>
    <mergeCell ref="Q156:Q163"/>
    <mergeCell ref="B8:B19"/>
    <mergeCell ref="C8:C19"/>
    <mergeCell ref="D8:D19"/>
    <mergeCell ref="N8:N19"/>
    <mergeCell ref="B54:B65"/>
    <mergeCell ref="C54:C65"/>
    <mergeCell ref="D54:D65"/>
    <mergeCell ref="N54:N65"/>
    <mergeCell ref="O54:O65"/>
    <mergeCell ref="Q83:Q87"/>
    <mergeCell ref="B88:B97"/>
    <mergeCell ref="C88:C97"/>
    <mergeCell ref="D88:D97"/>
    <mergeCell ref="N88:N97"/>
    <mergeCell ref="O88:O97"/>
    <mergeCell ref="Q88:Q92"/>
    <mergeCell ref="Q93:Q97"/>
    <mergeCell ref="B32:B43"/>
    <mergeCell ref="C32:C43"/>
    <mergeCell ref="D32:D43"/>
    <mergeCell ref="N32:N43"/>
    <mergeCell ref="O32:O43"/>
    <mergeCell ref="O8:O19"/>
    <mergeCell ref="B20:B31"/>
    <mergeCell ref="C20:C31"/>
    <mergeCell ref="D20:D31"/>
    <mergeCell ref="N20:N31"/>
    <mergeCell ref="O20:O31"/>
    <mergeCell ref="B120:B131"/>
    <mergeCell ref="C120:C131"/>
    <mergeCell ref="D120:D131"/>
    <mergeCell ref="N120:N131"/>
    <mergeCell ref="O120:O131"/>
    <mergeCell ref="B76:B87"/>
    <mergeCell ref="C76:C87"/>
    <mergeCell ref="D76:D87"/>
    <mergeCell ref="N76:N87"/>
    <mergeCell ref="O76:O87"/>
    <mergeCell ref="B110:B119"/>
    <mergeCell ref="C110:C119"/>
    <mergeCell ref="D110:D119"/>
    <mergeCell ref="N110:N119"/>
    <mergeCell ref="O110:O119"/>
    <mergeCell ref="C144:C155"/>
    <mergeCell ref="D144:D155"/>
    <mergeCell ref="N144:N155"/>
    <mergeCell ref="O144:O155"/>
    <mergeCell ref="B98:B109"/>
    <mergeCell ref="C98:C109"/>
    <mergeCell ref="D98:D109"/>
    <mergeCell ref="N98:N109"/>
    <mergeCell ref="O98:O109"/>
    <mergeCell ref="B132:B143"/>
    <mergeCell ref="C132:C143"/>
    <mergeCell ref="D132:D143"/>
    <mergeCell ref="Q8:Q14"/>
    <mergeCell ref="Q15:Q19"/>
    <mergeCell ref="Q20:Q26"/>
    <mergeCell ref="Q27:Q31"/>
    <mergeCell ref="Q32:Q38"/>
    <mergeCell ref="Q39:Q43"/>
    <mergeCell ref="Q54:Q60"/>
    <mergeCell ref="Q61:Q65"/>
    <mergeCell ref="Q76:Q82"/>
    <mergeCell ref="Q98:Q104"/>
    <mergeCell ref="Q105:Q109"/>
    <mergeCell ref="Q120:Q126"/>
    <mergeCell ref="Q127:Q131"/>
    <mergeCell ref="Q132:Q138"/>
    <mergeCell ref="Q139:Q143"/>
    <mergeCell ref="Q144:Q150"/>
    <mergeCell ref="Q151:Q155"/>
    <mergeCell ref="B44:B53"/>
    <mergeCell ref="C44:C53"/>
    <mergeCell ref="D44:D53"/>
    <mergeCell ref="N44:N53"/>
    <mergeCell ref="O44:O53"/>
    <mergeCell ref="Q44:Q48"/>
    <mergeCell ref="Q49:Q53"/>
    <mergeCell ref="B66:B75"/>
    <mergeCell ref="C66:C75"/>
    <mergeCell ref="D66:D75"/>
    <mergeCell ref="N66:N75"/>
    <mergeCell ref="O66:O75"/>
    <mergeCell ref="Q66:Q70"/>
    <mergeCell ref="Q71:Q75"/>
    <mergeCell ref="N132:N143"/>
    <mergeCell ref="O132:O143"/>
    <mergeCell ref="Q164:Q170"/>
    <mergeCell ref="O156:O170"/>
    <mergeCell ref="N156:N170"/>
    <mergeCell ref="C156:C170"/>
    <mergeCell ref="B156:B170"/>
    <mergeCell ref="B171:B185"/>
    <mergeCell ref="C171:C185"/>
    <mergeCell ref="D171:D185"/>
    <mergeCell ref="N171:N185"/>
    <mergeCell ref="O171:O185"/>
    <mergeCell ref="Q171:Q178"/>
    <mergeCell ref="Q179:Q185"/>
    <mergeCell ref="D156:D170"/>
    <mergeCell ref="Q186:Q193"/>
    <mergeCell ref="Q194:Q200"/>
    <mergeCell ref="Q201:Q212"/>
    <mergeCell ref="B201:B212"/>
    <mergeCell ref="C201:C212"/>
    <mergeCell ref="D201:D212"/>
    <mergeCell ref="N201:N212"/>
    <mergeCell ref="O201:O212"/>
    <mergeCell ref="B213:B224"/>
    <mergeCell ref="C213:C224"/>
    <mergeCell ref="D213:D224"/>
    <mergeCell ref="N213:N224"/>
    <mergeCell ref="O213:O224"/>
    <mergeCell ref="Q213:Q224"/>
    <mergeCell ref="B186:B200"/>
    <mergeCell ref="C186:C200"/>
    <mergeCell ref="D186:D200"/>
    <mergeCell ref="N186:N200"/>
    <mergeCell ref="O186:O200"/>
    <mergeCell ref="D225:D236"/>
    <mergeCell ref="C225:C236"/>
    <mergeCell ref="B225:B236"/>
    <mergeCell ref="Q225:Q231"/>
    <mergeCell ref="O225:O236"/>
    <mergeCell ref="N225:N236"/>
    <mergeCell ref="Q232:Q236"/>
    <mergeCell ref="B237:B248"/>
    <mergeCell ref="C237:C248"/>
    <mergeCell ref="D237:D248"/>
    <mergeCell ref="N237:N248"/>
    <mergeCell ref="O237:O248"/>
    <mergeCell ref="Q237:Q243"/>
    <mergeCell ref="Q244:Q248"/>
    <mergeCell ref="B249:B260"/>
    <mergeCell ref="C249:C260"/>
    <mergeCell ref="D249:D260"/>
    <mergeCell ref="N249:N260"/>
    <mergeCell ref="O249:O260"/>
    <mergeCell ref="Q249:Q255"/>
    <mergeCell ref="Q261:Q267"/>
    <mergeCell ref="Q268:Q272"/>
    <mergeCell ref="B261:B272"/>
    <mergeCell ref="C261:C272"/>
    <mergeCell ref="D261:D272"/>
    <mergeCell ref="N261:N272"/>
    <mergeCell ref="O261:O272"/>
    <mergeCell ref="Q256:Q260"/>
    <mergeCell ref="B273:B284"/>
    <mergeCell ref="C273:C284"/>
    <mergeCell ref="D273:D284"/>
    <mergeCell ref="N273:N284"/>
    <mergeCell ref="O273:O284"/>
    <mergeCell ref="Q273:Q279"/>
    <mergeCell ref="Q280:Q284"/>
    <mergeCell ref="C285:C294"/>
    <mergeCell ref="O285:O294"/>
    <mergeCell ref="N285:N294"/>
    <mergeCell ref="D285:D294"/>
    <mergeCell ref="B285:B294"/>
    <mergeCell ref="Q290:Q294"/>
    <mergeCell ref="Q285:Q289"/>
    <mergeCell ref="B295:B304"/>
    <mergeCell ref="C295:C304"/>
    <mergeCell ref="D295:D304"/>
    <mergeCell ref="N295:N304"/>
    <mergeCell ref="O295:O304"/>
    <mergeCell ref="Q295:Q299"/>
    <mergeCell ref="Q300:Q304"/>
    <mergeCell ref="B305:B314"/>
    <mergeCell ref="C305:C314"/>
    <mergeCell ref="D305:D314"/>
    <mergeCell ref="N305:N314"/>
    <mergeCell ref="O305:O314"/>
    <mergeCell ref="Q305:Q309"/>
    <mergeCell ref="Q310:Q314"/>
    <mergeCell ref="B335:B344"/>
    <mergeCell ref="C335:C344"/>
    <mergeCell ref="D335:D344"/>
    <mergeCell ref="N335:N344"/>
    <mergeCell ref="O335:O344"/>
    <mergeCell ref="Q335:Q344"/>
    <mergeCell ref="B315:B324"/>
    <mergeCell ref="C315:C324"/>
    <mergeCell ref="D315:D324"/>
    <mergeCell ref="O315:O324"/>
    <mergeCell ref="N315:N324"/>
    <mergeCell ref="Q315:Q324"/>
    <mergeCell ref="B325:B334"/>
    <mergeCell ref="C325:C334"/>
    <mergeCell ref="D325:D334"/>
    <mergeCell ref="N325:N334"/>
    <mergeCell ref="O325:O334"/>
    <mergeCell ref="Q325:Q334"/>
  </mergeCells>
  <phoneticPr fontId="6" type="noConversion"/>
  <printOptions horizontalCentered="1"/>
  <pageMargins left="0.25" right="0.25" top="0.75" bottom="0.75" header="0.3" footer="0.3"/>
  <pageSetup paperSize="8" scale="39" fitToHeight="0" orientation="landscape" r:id="rId1"/>
  <headerFooter>
    <oddFooter>&amp;L&amp;1#&amp;"Calibri,Regular"&amp;8&amp;K000000Sensitivity: LNT Construction Internal Use&amp;CPage &amp;P-1 of &amp;N-1&amp;R&amp;8Designed by: GP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2:Q58"/>
  <sheetViews>
    <sheetView view="pageBreakPreview" zoomScale="40" zoomScaleNormal="85" zoomScaleSheetLayoutView="40" zoomScalePageLayoutView="78" workbookViewId="0">
      <selection activeCell="B8" sqref="B8:B17"/>
    </sheetView>
  </sheetViews>
  <sheetFormatPr defaultColWidth="9.21875" defaultRowHeight="15.6" x14ac:dyDescent="0.3"/>
  <cols>
    <col min="1" max="1" width="2.77734375" style="2" customWidth="1"/>
    <col min="2" max="2" width="12.88671875" style="2" bestFit="1" customWidth="1"/>
    <col min="3" max="3" width="36.77734375" style="2" customWidth="1"/>
    <col min="4" max="4" width="38.88671875" style="2" customWidth="1"/>
    <col min="5" max="5" width="10.6640625" style="2" bestFit="1" customWidth="1"/>
    <col min="6" max="6" width="16.6640625" style="2" customWidth="1"/>
    <col min="7" max="7" width="17.109375" style="2" customWidth="1"/>
    <col min="8" max="8" width="19.77734375" style="3" customWidth="1"/>
    <col min="9" max="9" width="20.109375" style="2" bestFit="1" customWidth="1"/>
    <col min="10" max="10" width="42.109375" style="2" customWidth="1"/>
    <col min="11" max="11" width="19.109375" style="2" customWidth="1"/>
    <col min="12" max="12" width="17.88671875" style="2" bestFit="1" customWidth="1"/>
    <col min="13" max="13" width="43" style="2" customWidth="1"/>
    <col min="14" max="14" width="38" style="4" customWidth="1"/>
    <col min="15" max="15" width="56.21875" style="2" customWidth="1"/>
    <col min="16" max="16" width="64.88671875" style="2" bestFit="1" customWidth="1"/>
    <col min="17" max="17" width="60.77734375" style="2" customWidth="1"/>
    <col min="18" max="16384" width="9.21875" style="2"/>
  </cols>
  <sheetData>
    <row r="2" spans="2:17" s="5" customFormat="1" ht="90" customHeight="1" x14ac:dyDescent="0.3">
      <c r="B2" s="178" t="s">
        <v>46</v>
      </c>
      <c r="C2" s="168"/>
      <c r="D2" s="168"/>
      <c r="E2" s="168"/>
      <c r="F2" s="168"/>
      <c r="G2" s="168"/>
      <c r="H2" s="178" t="str">
        <f>Cover!B54&amp;" "&amp;Cover!B55</f>
        <v>PROJECT: DESIGN AND CONSTRUCTION FOR DHANKI TO TOKRALA (UPTO NATIONAL HIGHWAY CROSSING) BULK PIPELINE 45 KMS INCLUDING CONSTRUCTION OF RCC U/G SUMP, PUMP HOUSE, SITC OF PUMPING MACHINERY AND ANCILLARY WORKS AT DHANKI PUMPING STATION WITH 10 YEARS COMPREHENSIVE OPERATION &amp; MAINTENANCE UNDER DHANKI TO NAVDA PIPELINE PROJECT (PACKAGE NO-1 NC 42)</v>
      </c>
      <c r="I2" s="168"/>
      <c r="J2" s="168"/>
      <c r="K2" s="168"/>
      <c r="L2" s="168"/>
      <c r="M2" s="168"/>
      <c r="N2" s="168"/>
      <c r="O2" s="169"/>
      <c r="P2" s="178" t="s">
        <v>0</v>
      </c>
      <c r="Q2" s="169"/>
    </row>
    <row r="3" spans="2:17" s="5" customFormat="1" ht="60" customHeight="1" x14ac:dyDescent="0.3">
      <c r="B3" s="61" t="s">
        <v>48</v>
      </c>
      <c r="C3" s="82" t="str">
        <f>Cover!$B$51</f>
        <v>GUJARAT WATER INFRASTRUCTURE LIMITED (GWIL), GANDHINAGAR</v>
      </c>
      <c r="D3" s="82"/>
      <c r="E3" s="82"/>
      <c r="F3" s="82"/>
      <c r="G3" s="82"/>
      <c r="H3" s="178" t="s">
        <v>119</v>
      </c>
      <c r="I3" s="168"/>
      <c r="J3" s="168"/>
      <c r="K3" s="168"/>
      <c r="L3" s="168"/>
      <c r="M3" s="168"/>
      <c r="N3" s="168"/>
      <c r="O3" s="169"/>
      <c r="P3" s="178" t="s">
        <v>22</v>
      </c>
      <c r="Q3" s="169"/>
    </row>
    <row r="4" spans="2:17" s="5" customFormat="1" ht="60" customHeight="1" x14ac:dyDescent="0.3">
      <c r="B4" s="85" t="s">
        <v>47</v>
      </c>
      <c r="C4" s="85"/>
      <c r="D4" s="85"/>
      <c r="E4" s="85"/>
      <c r="F4" s="85"/>
      <c r="G4" s="85"/>
      <c r="H4" s="179" t="str">
        <f>"DOCUMENT NO: "&amp;_xlfn.CONCAT(Cover!D65:AA65)</f>
        <v>DOCUMENT NO: LE22M232-I-WS-RW-CI-5010</v>
      </c>
      <c r="I4" s="180"/>
      <c r="J4" s="180"/>
      <c r="K4" s="180"/>
      <c r="L4" s="180"/>
      <c r="M4" s="180"/>
      <c r="N4" s="180"/>
      <c r="O4" s="181"/>
      <c r="P4" s="167">
        <f>Cover!B45</f>
        <v>46023</v>
      </c>
      <c r="Q4" s="182"/>
    </row>
    <row r="5" spans="2:17" s="5" customFormat="1" ht="30" customHeight="1" x14ac:dyDescent="0.3">
      <c r="B5" s="83" t="s">
        <v>32</v>
      </c>
      <c r="C5" s="84" t="s">
        <v>50</v>
      </c>
      <c r="D5" s="84"/>
      <c r="E5" s="84"/>
      <c r="F5" s="84"/>
      <c r="G5" s="84"/>
      <c r="H5" s="84"/>
      <c r="I5" s="84"/>
      <c r="J5" s="82" t="s">
        <v>107</v>
      </c>
      <c r="K5" s="84" t="s">
        <v>90</v>
      </c>
      <c r="L5" s="84"/>
      <c r="M5" s="82" t="s">
        <v>113</v>
      </c>
      <c r="N5" s="84" t="s">
        <v>53</v>
      </c>
      <c r="O5" s="84"/>
      <c r="P5" s="84"/>
      <c r="Q5" s="83" t="s">
        <v>51</v>
      </c>
    </row>
    <row r="6" spans="2:17" s="5" customFormat="1" ht="60" customHeight="1" x14ac:dyDescent="0.3">
      <c r="B6" s="83"/>
      <c r="C6" s="63" t="s">
        <v>4</v>
      </c>
      <c r="D6" s="63" t="s">
        <v>3</v>
      </c>
      <c r="E6" s="63" t="s">
        <v>27</v>
      </c>
      <c r="F6" s="63" t="s">
        <v>321</v>
      </c>
      <c r="G6" s="63" t="s">
        <v>322</v>
      </c>
      <c r="H6" s="63" t="s">
        <v>35</v>
      </c>
      <c r="I6" s="63" t="s">
        <v>36</v>
      </c>
      <c r="J6" s="84"/>
      <c r="K6" s="63" t="s">
        <v>91</v>
      </c>
      <c r="L6" s="63" t="s">
        <v>6</v>
      </c>
      <c r="M6" s="84"/>
      <c r="N6" s="63" t="s">
        <v>23</v>
      </c>
      <c r="O6" s="63" t="s">
        <v>29</v>
      </c>
      <c r="P6" s="63" t="s">
        <v>25</v>
      </c>
      <c r="Q6" s="83"/>
    </row>
    <row r="7" spans="2:17" ht="30" customHeight="1" x14ac:dyDescent="0.3">
      <c r="B7" s="177" t="s">
        <v>438</v>
      </c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2:17" ht="30" customHeight="1" x14ac:dyDescent="0.3">
      <c r="B8" s="87">
        <v>1</v>
      </c>
      <c r="C8" s="159" t="str">
        <f>CONCATENATE(N8," - "," ","PLC")</f>
        <v>VTP-01/VFD -  PLC</v>
      </c>
      <c r="D8" s="89" t="s">
        <v>200</v>
      </c>
      <c r="E8" s="67" t="s">
        <v>13</v>
      </c>
      <c r="F8" s="77">
        <v>1</v>
      </c>
      <c r="G8" s="80">
        <v>0</v>
      </c>
      <c r="H8" s="69" t="str">
        <f>"1T"&amp;TEXT(F8,"00")&amp;TEXT(G8,"00")</f>
        <v>1T0100</v>
      </c>
      <c r="I8" s="65">
        <v>21</v>
      </c>
      <c r="J8" s="65" t="str">
        <f>CONCATENATE(I8,"-",H8,"/",K8,"-",L8)</f>
        <v>21-1T0100/VFD-01-X2: 29</v>
      </c>
      <c r="K8" s="65" t="s">
        <v>421</v>
      </c>
      <c r="L8" s="65" t="s">
        <v>426</v>
      </c>
      <c r="M8" s="65" t="str">
        <f t="shared" ref="M8:M15" si="0">CONCATENATE(L8,"-",K8,"/",H8,"-",I8)</f>
        <v>X2: 29-VFD-01/1T0100-21</v>
      </c>
      <c r="N8" s="159" t="s">
        <v>296</v>
      </c>
      <c r="O8" s="159" t="s">
        <v>202</v>
      </c>
      <c r="P8" s="68" t="s">
        <v>213</v>
      </c>
      <c r="Q8" s="161" t="str" cm="1">
        <f t="array" ref="Q8">UPPER(
"In PLC side, "&amp;
_xlfn.TEXTJOIN(", ",TRUE,
H8:INDEX(H8:H17,MATCH("COMMON",P8:P17,0)-2)&amp;
": "&amp;
(I8:INDEX(I8:I17,MATCH("COMMON",P8:P17,0)-2)+1)
)&amp;
" &amp; "&amp;
INDEX(H8:H17,MATCH("COMMON",P8:P17,0)-1)&amp;": "&amp;
INDEX(I8:I17,MATCH("COMMON",P8:P17,0)-1)+1&amp;
" are already looped"
)
&amp;CHAR(10)&amp;CHAR(10)&amp;
"IN "&amp;K8&amp;" SIDE, TERMINALS X2: 28, 30 &amp; 34 NEEDS TO BE LOOPED TOGETHER"</f>
        <v>IN PLC SIDE, 1T0100: 22, 1T0100: 24, 1T0100: 26 &amp; 1T0101: 2 ARE ALREADY LOOPED
IN VFD-01 SIDE, TERMINALS X2: 28, 30 &amp; 34 NEEDS TO BE LOOPED TOGETHER</v>
      </c>
    </row>
    <row r="9" spans="2:17" ht="30" customHeight="1" x14ac:dyDescent="0.3">
      <c r="B9" s="87"/>
      <c r="C9" s="159"/>
      <c r="D9" s="89"/>
      <c r="E9" s="67" t="s">
        <v>14</v>
      </c>
      <c r="F9" s="77">
        <v>1</v>
      </c>
      <c r="G9" s="80">
        <v>0</v>
      </c>
      <c r="H9" s="69" t="str">
        <f t="shared" ref="H9:H55" si="1">"1T"&amp;TEXT(F9,"00")&amp;TEXT(G9,"00")</f>
        <v>1T0100</v>
      </c>
      <c r="I9" s="65">
        <f>I8+2</f>
        <v>23</v>
      </c>
      <c r="J9" s="65" t="str">
        <f t="shared" ref="J9:J15" si="2">CONCATENATE(I9,"-",H9,"/",K9,"-",L9)</f>
        <v>23-1T0100/VFD-01-X2: 27</v>
      </c>
      <c r="K9" s="65" t="s">
        <v>421</v>
      </c>
      <c r="L9" s="65" t="s">
        <v>429</v>
      </c>
      <c r="M9" s="65" t="str">
        <f t="shared" si="0"/>
        <v>X2: 27-VFD-01/1T0100-23</v>
      </c>
      <c r="N9" s="159"/>
      <c r="O9" s="159"/>
      <c r="P9" s="68" t="s">
        <v>214</v>
      </c>
      <c r="Q9" s="162"/>
    </row>
    <row r="10" spans="2:17" ht="30" customHeight="1" x14ac:dyDescent="0.3">
      <c r="B10" s="87"/>
      <c r="C10" s="159"/>
      <c r="D10" s="89"/>
      <c r="E10" s="67" t="s">
        <v>15</v>
      </c>
      <c r="F10" s="77">
        <v>1</v>
      </c>
      <c r="G10" s="80">
        <v>0</v>
      </c>
      <c r="H10" s="69" t="str">
        <f t="shared" si="1"/>
        <v>1T0100</v>
      </c>
      <c r="I10" s="65">
        <f>I9+2</f>
        <v>25</v>
      </c>
      <c r="J10" s="65" t="str">
        <f t="shared" si="2"/>
        <v>25-1T0100/VFD-01-NA</v>
      </c>
      <c r="K10" s="65" t="s">
        <v>421</v>
      </c>
      <c r="L10" s="65" t="s">
        <v>430</v>
      </c>
      <c r="M10" s="65" t="str">
        <f t="shared" si="0"/>
        <v>NA-VFD-01/1T0100-25</v>
      </c>
      <c r="N10" s="159"/>
      <c r="O10" s="159"/>
      <c r="P10" s="68" t="s">
        <v>215</v>
      </c>
      <c r="Q10" s="162"/>
    </row>
    <row r="11" spans="2:17" ht="30" customHeight="1" x14ac:dyDescent="0.3">
      <c r="B11" s="87"/>
      <c r="C11" s="159"/>
      <c r="D11" s="89"/>
      <c r="E11" s="67" t="s">
        <v>16</v>
      </c>
      <c r="F11" s="77">
        <v>1</v>
      </c>
      <c r="G11" s="80">
        <v>1</v>
      </c>
      <c r="H11" s="69" t="str">
        <f t="shared" si="1"/>
        <v>1T0101</v>
      </c>
      <c r="I11" s="65">
        <v>1</v>
      </c>
      <c r="J11" s="65" t="str">
        <f t="shared" si="2"/>
        <v>1-1T0101/VFD-01-X2: 33</v>
      </c>
      <c r="K11" s="65" t="s">
        <v>421</v>
      </c>
      <c r="L11" s="65" t="s">
        <v>427</v>
      </c>
      <c r="M11" s="65" t="str">
        <f t="shared" si="0"/>
        <v>X2: 33-VFD-01/1T0101-1</v>
      </c>
      <c r="N11" s="159"/>
      <c r="O11" s="159"/>
      <c r="P11" s="68" t="s">
        <v>216</v>
      </c>
      <c r="Q11" s="162"/>
    </row>
    <row r="12" spans="2:17" ht="30" customHeight="1" x14ac:dyDescent="0.3">
      <c r="B12" s="87"/>
      <c r="C12" s="159"/>
      <c r="D12" s="89"/>
      <c r="E12" s="67" t="s">
        <v>17</v>
      </c>
      <c r="F12" s="77">
        <v>1</v>
      </c>
      <c r="G12" s="80">
        <v>1</v>
      </c>
      <c r="H12" s="69" t="str">
        <f t="shared" si="1"/>
        <v>1T0101</v>
      </c>
      <c r="I12" s="65">
        <f>I11+1</f>
        <v>2</v>
      </c>
      <c r="J12" s="65" t="str">
        <f t="shared" si="2"/>
        <v>2-1T0101/VFD-01-X2: 34</v>
      </c>
      <c r="K12" s="65" t="s">
        <v>421</v>
      </c>
      <c r="L12" s="65" t="s">
        <v>428</v>
      </c>
      <c r="M12" s="65" t="str">
        <f t="shared" si="0"/>
        <v>X2: 34-VFD-01/1T0101-2</v>
      </c>
      <c r="N12" s="159"/>
      <c r="O12" s="159"/>
      <c r="P12" s="68" t="s">
        <v>31</v>
      </c>
      <c r="Q12" s="163"/>
    </row>
    <row r="13" spans="2:17" ht="30" customHeight="1" x14ac:dyDescent="0.3">
      <c r="B13" s="87"/>
      <c r="C13" s="159"/>
      <c r="D13" s="89"/>
      <c r="E13" s="67" t="s">
        <v>18</v>
      </c>
      <c r="F13" s="77">
        <v>4</v>
      </c>
      <c r="G13" s="80">
        <v>0</v>
      </c>
      <c r="H13" s="69" t="str">
        <f t="shared" si="1"/>
        <v>1T0400</v>
      </c>
      <c r="I13" s="65">
        <v>5</v>
      </c>
      <c r="J13" s="65" t="str">
        <f t="shared" si="2"/>
        <v>5-1T0400/VFD-01-X2: 7</v>
      </c>
      <c r="K13" s="65" t="s">
        <v>421</v>
      </c>
      <c r="L13" s="65" t="s">
        <v>431</v>
      </c>
      <c r="M13" s="65" t="str">
        <f t="shared" si="0"/>
        <v>X2: 7-VFD-01/1T0400-5</v>
      </c>
      <c r="N13" s="159"/>
      <c r="O13" s="159"/>
      <c r="P13" s="68" t="s">
        <v>114</v>
      </c>
      <c r="Q13" s="161" t="str">
        <f>"IN "&amp;K8&amp;" SIDE, TERMINALS X2: 8 &amp; 10 ARE ALREADY LOOPED TOGETHER"</f>
        <v>IN VFD-01 SIDE, TERMINALS X2: 8 &amp; 10 ARE ALREADY LOOPED TOGETHER</v>
      </c>
    </row>
    <row r="14" spans="2:17" ht="30" customHeight="1" x14ac:dyDescent="0.3">
      <c r="B14" s="87"/>
      <c r="C14" s="159"/>
      <c r="D14" s="89"/>
      <c r="E14" s="67" t="s">
        <v>19</v>
      </c>
      <c r="F14" s="77">
        <v>4</v>
      </c>
      <c r="G14" s="80">
        <v>0</v>
      </c>
      <c r="H14" s="69" t="str">
        <f t="shared" si="1"/>
        <v>1T0400</v>
      </c>
      <c r="I14" s="65">
        <f>I13+2</f>
        <v>7</v>
      </c>
      <c r="J14" s="65" t="str">
        <f t="shared" si="2"/>
        <v>7-1T0400/VFD-01-X2: 9</v>
      </c>
      <c r="K14" s="65" t="s">
        <v>421</v>
      </c>
      <c r="L14" s="65" t="s">
        <v>432</v>
      </c>
      <c r="M14" s="65" t="str">
        <f t="shared" si="0"/>
        <v>X2: 9-VFD-01/1T0400-7</v>
      </c>
      <c r="N14" s="159"/>
      <c r="O14" s="159"/>
      <c r="P14" s="68" t="s">
        <v>115</v>
      </c>
      <c r="Q14" s="162"/>
    </row>
    <row r="15" spans="2:17" ht="30" customHeight="1" x14ac:dyDescent="0.3">
      <c r="B15" s="87"/>
      <c r="C15" s="159"/>
      <c r="D15" s="89"/>
      <c r="E15" s="67" t="s">
        <v>20</v>
      </c>
      <c r="F15" s="77">
        <v>4</v>
      </c>
      <c r="G15" s="80">
        <v>0</v>
      </c>
      <c r="H15" s="69" t="str">
        <f t="shared" si="1"/>
        <v>1T0400</v>
      </c>
      <c r="I15" s="65">
        <f>I14+1</f>
        <v>8</v>
      </c>
      <c r="J15" s="65" t="str">
        <f t="shared" si="2"/>
        <v>8-1T0400/VFD-01-X2: 10</v>
      </c>
      <c r="K15" s="65" t="s">
        <v>421</v>
      </c>
      <c r="L15" s="65" t="s">
        <v>433</v>
      </c>
      <c r="M15" s="65" t="str">
        <f t="shared" si="0"/>
        <v>X2: 10-VFD-01/1T0400-8</v>
      </c>
      <c r="N15" s="159"/>
      <c r="O15" s="159"/>
      <c r="P15" s="68" t="s">
        <v>31</v>
      </c>
      <c r="Q15" s="162"/>
    </row>
    <row r="16" spans="2:17" ht="30" customHeight="1" x14ac:dyDescent="0.3">
      <c r="B16" s="87"/>
      <c r="C16" s="159"/>
      <c r="D16" s="89"/>
      <c r="E16" s="67" t="s">
        <v>21</v>
      </c>
      <c r="F16" s="77" t="s">
        <v>45</v>
      </c>
      <c r="G16" s="80" t="s">
        <v>45</v>
      </c>
      <c r="H16" s="69" t="s">
        <v>45</v>
      </c>
      <c r="I16" s="65" t="s">
        <v>45</v>
      </c>
      <c r="J16" s="65" t="s">
        <v>45</v>
      </c>
      <c r="K16" s="65" t="s">
        <v>45</v>
      </c>
      <c r="L16" s="65" t="s">
        <v>45</v>
      </c>
      <c r="M16" s="65" t="s">
        <v>45</v>
      </c>
      <c r="N16" s="159"/>
      <c r="O16" s="159"/>
      <c r="P16" s="68" t="s">
        <v>34</v>
      </c>
      <c r="Q16" s="162"/>
    </row>
    <row r="17" spans="2:17" ht="30" customHeight="1" x14ac:dyDescent="0.3">
      <c r="B17" s="87"/>
      <c r="C17" s="159"/>
      <c r="D17" s="89"/>
      <c r="E17" s="67" t="s">
        <v>30</v>
      </c>
      <c r="F17" s="77" t="s">
        <v>45</v>
      </c>
      <c r="G17" s="80" t="s">
        <v>45</v>
      </c>
      <c r="H17" s="69" t="s">
        <v>45</v>
      </c>
      <c r="I17" s="65" t="s">
        <v>45</v>
      </c>
      <c r="J17" s="65" t="s">
        <v>45</v>
      </c>
      <c r="K17" s="65" t="s">
        <v>45</v>
      </c>
      <c r="L17" s="65" t="s">
        <v>45</v>
      </c>
      <c r="M17" s="65" t="s">
        <v>45</v>
      </c>
      <c r="N17" s="159"/>
      <c r="O17" s="159"/>
      <c r="P17" s="68" t="s">
        <v>34</v>
      </c>
      <c r="Q17" s="163"/>
    </row>
    <row r="18" spans="2:17" ht="30" customHeight="1" x14ac:dyDescent="0.3">
      <c r="B18" s="87">
        <f>B8+1</f>
        <v>2</v>
      </c>
      <c r="C18" s="159" t="str">
        <f t="shared" ref="C18" si="3">CONCATENATE(N18," - "," ","PLC")</f>
        <v>VTP-02/VFD -  PLC</v>
      </c>
      <c r="D18" s="89" t="s">
        <v>200</v>
      </c>
      <c r="E18" s="67" t="s">
        <v>13</v>
      </c>
      <c r="F18" s="77">
        <v>1</v>
      </c>
      <c r="G18" s="80">
        <v>1</v>
      </c>
      <c r="H18" s="69" t="str">
        <f t="shared" si="1"/>
        <v>1T0101</v>
      </c>
      <c r="I18" s="65">
        <v>15</v>
      </c>
      <c r="J18" s="65" t="str">
        <f>CONCATENATE(I18,"-",H18,"/",K18,"-",L18)</f>
        <v>15-1T0101/VFD-02-X2: 29</v>
      </c>
      <c r="K18" s="65" t="s">
        <v>422</v>
      </c>
      <c r="L18" s="65" t="s">
        <v>426</v>
      </c>
      <c r="M18" s="65" t="str">
        <f t="shared" ref="M18:M22" si="4">CONCATENATE(L18,"-",K18,"/",H18,"-",I18)</f>
        <v>X2: 29-VFD-02/1T0101-15</v>
      </c>
      <c r="N18" s="159" t="s">
        <v>297</v>
      </c>
      <c r="O18" s="159" t="s">
        <v>203</v>
      </c>
      <c r="P18" s="68" t="s">
        <v>213</v>
      </c>
      <c r="Q18" s="161" t="str" cm="1">
        <f t="array" ref="Q18">UPPER(
"In PLC side, "&amp;
_xlfn.TEXTJOIN(", ",TRUE,
H18:INDEX(H18:H27,MATCH("COMMON",P18:P27,0)-2)&amp;
": "&amp;
(I18:INDEX(I18:I27,MATCH("COMMON",P18:P27,0)-2)+1)
)&amp;
" &amp; "&amp;
INDEX(H18:H27,MATCH("COMMON",P18:P27,0)-1)&amp;": "&amp;
INDEX(I18:I27,MATCH("COMMON",P18:P27,0)-1)+1&amp;
" are already looped"
)
&amp;CHAR(10)&amp;CHAR(10)&amp;
"IN "&amp;K18&amp;" SIDE, TERMINALS X2: 28, 30 &amp; 34 NEEDS TO BE LOOPED TOGETHER"</f>
        <v>IN PLC SIDE, 1T0101: 16, 1T0101: 18, 1T0101: 20 &amp; 1T0101: 22 ARE ALREADY LOOPED
IN VFD-02 SIDE, TERMINALS X2: 28, 30 &amp; 34 NEEDS TO BE LOOPED TOGETHER</v>
      </c>
    </row>
    <row r="19" spans="2:17" ht="30" customHeight="1" x14ac:dyDescent="0.3">
      <c r="B19" s="87"/>
      <c r="C19" s="159"/>
      <c r="D19" s="89"/>
      <c r="E19" s="67" t="s">
        <v>14</v>
      </c>
      <c r="F19" s="77">
        <v>1</v>
      </c>
      <c r="G19" s="80">
        <v>1</v>
      </c>
      <c r="H19" s="69" t="str">
        <f t="shared" si="1"/>
        <v>1T0101</v>
      </c>
      <c r="I19" s="65">
        <f>I18+2</f>
        <v>17</v>
      </c>
      <c r="J19" s="65" t="str">
        <f t="shared" ref="J19:J22" si="5">CONCATENATE(I19,"-",H19,"/",K19,"-",L19)</f>
        <v>17-1T0101/VFD-02-X2: 27</v>
      </c>
      <c r="K19" s="65" t="s">
        <v>422</v>
      </c>
      <c r="L19" s="65" t="s">
        <v>429</v>
      </c>
      <c r="M19" s="65" t="str">
        <f t="shared" si="4"/>
        <v>X2: 27-VFD-02/1T0101-17</v>
      </c>
      <c r="N19" s="159"/>
      <c r="O19" s="159"/>
      <c r="P19" s="68" t="s">
        <v>214</v>
      </c>
      <c r="Q19" s="162"/>
    </row>
    <row r="20" spans="2:17" ht="30" customHeight="1" x14ac:dyDescent="0.3">
      <c r="B20" s="87"/>
      <c r="C20" s="159"/>
      <c r="D20" s="89"/>
      <c r="E20" s="67" t="s">
        <v>15</v>
      </c>
      <c r="F20" s="77">
        <v>1</v>
      </c>
      <c r="G20" s="80">
        <v>1</v>
      </c>
      <c r="H20" s="69" t="str">
        <f t="shared" si="1"/>
        <v>1T0101</v>
      </c>
      <c r="I20" s="65">
        <f>I19+2</f>
        <v>19</v>
      </c>
      <c r="J20" s="65" t="str">
        <f t="shared" si="5"/>
        <v>19-1T0101/VFD-02-NA</v>
      </c>
      <c r="K20" s="65" t="s">
        <v>422</v>
      </c>
      <c r="L20" s="65" t="s">
        <v>430</v>
      </c>
      <c r="M20" s="65" t="str">
        <f t="shared" si="4"/>
        <v>NA-VFD-02/1T0101-19</v>
      </c>
      <c r="N20" s="159"/>
      <c r="O20" s="159"/>
      <c r="P20" s="68" t="s">
        <v>215</v>
      </c>
      <c r="Q20" s="162"/>
    </row>
    <row r="21" spans="2:17" ht="30" customHeight="1" x14ac:dyDescent="0.3">
      <c r="B21" s="87"/>
      <c r="C21" s="159"/>
      <c r="D21" s="89"/>
      <c r="E21" s="67" t="s">
        <v>16</v>
      </c>
      <c r="F21" s="77">
        <v>1</v>
      </c>
      <c r="G21" s="80">
        <v>1</v>
      </c>
      <c r="H21" s="69" t="str">
        <f t="shared" si="1"/>
        <v>1T0101</v>
      </c>
      <c r="I21" s="65">
        <f>I20+2</f>
        <v>21</v>
      </c>
      <c r="J21" s="65" t="str">
        <f t="shared" si="5"/>
        <v>21-1T0101/VFD-02-X2: 33</v>
      </c>
      <c r="K21" s="65" t="s">
        <v>422</v>
      </c>
      <c r="L21" s="65" t="s">
        <v>427</v>
      </c>
      <c r="M21" s="65" t="str">
        <f t="shared" si="4"/>
        <v>X2: 33-VFD-02/1T0101-21</v>
      </c>
      <c r="N21" s="159"/>
      <c r="O21" s="159"/>
      <c r="P21" s="68" t="s">
        <v>216</v>
      </c>
      <c r="Q21" s="162"/>
    </row>
    <row r="22" spans="2:17" ht="30" customHeight="1" x14ac:dyDescent="0.3">
      <c r="B22" s="87"/>
      <c r="C22" s="159"/>
      <c r="D22" s="89"/>
      <c r="E22" s="67" t="s">
        <v>17</v>
      </c>
      <c r="F22" s="77">
        <v>1</v>
      </c>
      <c r="G22" s="80">
        <v>1</v>
      </c>
      <c r="H22" s="69" t="str">
        <f t="shared" si="1"/>
        <v>1T0101</v>
      </c>
      <c r="I22" s="65">
        <f>I21+1</f>
        <v>22</v>
      </c>
      <c r="J22" s="65" t="str">
        <f t="shared" si="5"/>
        <v>22-1T0101/VFD-02-X2: 34</v>
      </c>
      <c r="K22" s="65" t="s">
        <v>422</v>
      </c>
      <c r="L22" s="65" t="s">
        <v>428</v>
      </c>
      <c r="M22" s="65" t="str">
        <f t="shared" si="4"/>
        <v>X2: 34-VFD-02/1T0101-22</v>
      </c>
      <c r="N22" s="159"/>
      <c r="O22" s="159"/>
      <c r="P22" s="68" t="s">
        <v>31</v>
      </c>
      <c r="Q22" s="163"/>
    </row>
    <row r="23" spans="2:17" ht="30" customHeight="1" x14ac:dyDescent="0.3">
      <c r="B23" s="87"/>
      <c r="C23" s="159"/>
      <c r="D23" s="89"/>
      <c r="E23" s="67" t="s">
        <v>18</v>
      </c>
      <c r="F23" s="77">
        <v>4</v>
      </c>
      <c r="G23" s="80">
        <v>0</v>
      </c>
      <c r="H23" s="69" t="str">
        <f t="shared" si="1"/>
        <v>1T0400</v>
      </c>
      <c r="I23" s="81">
        <v>13</v>
      </c>
      <c r="J23" s="65" t="str">
        <f>CONCATENATE(I23,"-",H23,"/",K23,"-",L23)</f>
        <v>13-1T0400/VFD-02-X2: 7</v>
      </c>
      <c r="K23" s="65" t="s">
        <v>422</v>
      </c>
      <c r="L23" s="65" t="s">
        <v>431</v>
      </c>
      <c r="M23" s="65" t="str">
        <f>CONCATENATE(L23,"-",K23,"/",H23,"-",I23)</f>
        <v>X2: 7-VFD-02/1T0400-13</v>
      </c>
      <c r="N23" s="159"/>
      <c r="O23" s="159"/>
      <c r="P23" s="68" t="s">
        <v>114</v>
      </c>
      <c r="Q23" s="161" t="str">
        <f>"IN "&amp;K18&amp;" SIDE, TERMINALS X2: 8 &amp; 10 ARE ALREADY LOOPED TOGETHER"</f>
        <v>IN VFD-02 SIDE, TERMINALS X2: 8 &amp; 10 ARE ALREADY LOOPED TOGETHER</v>
      </c>
    </row>
    <row r="24" spans="2:17" ht="30" customHeight="1" x14ac:dyDescent="0.3">
      <c r="B24" s="87"/>
      <c r="C24" s="159"/>
      <c r="D24" s="89"/>
      <c r="E24" s="67" t="s">
        <v>19</v>
      </c>
      <c r="F24" s="77">
        <v>4</v>
      </c>
      <c r="G24" s="80">
        <v>0</v>
      </c>
      <c r="H24" s="69" t="str">
        <f t="shared" si="1"/>
        <v>1T0400</v>
      </c>
      <c r="I24" s="65">
        <f>I23+2</f>
        <v>15</v>
      </c>
      <c r="J24" s="65" t="str">
        <f>CONCATENATE(I24,"-",H24,"/",K24,"-",L24)</f>
        <v>15-1T0400/VFD-02-X2: 9</v>
      </c>
      <c r="K24" s="65" t="s">
        <v>422</v>
      </c>
      <c r="L24" s="65" t="s">
        <v>432</v>
      </c>
      <c r="M24" s="65" t="str">
        <f>CONCATENATE(L24,"-",K24,"/",H24,"-",I24)</f>
        <v>X2: 9-VFD-02/1T0400-15</v>
      </c>
      <c r="N24" s="159"/>
      <c r="O24" s="159"/>
      <c r="P24" s="68" t="s">
        <v>115</v>
      </c>
      <c r="Q24" s="162"/>
    </row>
    <row r="25" spans="2:17" ht="30" customHeight="1" x14ac:dyDescent="0.3">
      <c r="B25" s="87"/>
      <c r="C25" s="159"/>
      <c r="D25" s="89"/>
      <c r="E25" s="67" t="s">
        <v>20</v>
      </c>
      <c r="F25" s="77">
        <v>4</v>
      </c>
      <c r="G25" s="80">
        <v>0</v>
      </c>
      <c r="H25" s="69" t="str">
        <f t="shared" si="1"/>
        <v>1T0400</v>
      </c>
      <c r="I25" s="65">
        <f>I24+1</f>
        <v>16</v>
      </c>
      <c r="J25" s="65" t="str">
        <f>CONCATENATE(I25,"-",H25,"/",K25,"-",L25)</f>
        <v>16-1T0400/VFD-02-X2: 10</v>
      </c>
      <c r="K25" s="65" t="s">
        <v>422</v>
      </c>
      <c r="L25" s="65" t="s">
        <v>433</v>
      </c>
      <c r="M25" s="65" t="str">
        <f>CONCATENATE(L25,"-",K25,"/",H25,"-",I25)</f>
        <v>X2: 10-VFD-02/1T0400-16</v>
      </c>
      <c r="N25" s="159"/>
      <c r="O25" s="159"/>
      <c r="P25" s="68" t="s">
        <v>31</v>
      </c>
      <c r="Q25" s="162"/>
    </row>
    <row r="26" spans="2:17" ht="30" customHeight="1" x14ac:dyDescent="0.3">
      <c r="B26" s="87"/>
      <c r="C26" s="159"/>
      <c r="D26" s="89"/>
      <c r="E26" s="67" t="s">
        <v>21</v>
      </c>
      <c r="F26" s="77" t="s">
        <v>45</v>
      </c>
      <c r="G26" s="80" t="s">
        <v>45</v>
      </c>
      <c r="H26" s="69" t="s">
        <v>45</v>
      </c>
      <c r="I26" s="65" t="s">
        <v>45</v>
      </c>
      <c r="J26" s="65" t="s">
        <v>45</v>
      </c>
      <c r="K26" s="65" t="s">
        <v>45</v>
      </c>
      <c r="L26" s="65" t="s">
        <v>45</v>
      </c>
      <c r="M26" s="65" t="s">
        <v>45</v>
      </c>
      <c r="N26" s="159"/>
      <c r="O26" s="159"/>
      <c r="P26" s="68" t="s">
        <v>34</v>
      </c>
      <c r="Q26" s="162"/>
    </row>
    <row r="27" spans="2:17" ht="30" customHeight="1" x14ac:dyDescent="0.3">
      <c r="B27" s="87"/>
      <c r="C27" s="159"/>
      <c r="D27" s="89"/>
      <c r="E27" s="67" t="s">
        <v>30</v>
      </c>
      <c r="F27" s="77" t="s">
        <v>45</v>
      </c>
      <c r="G27" s="80" t="s">
        <v>45</v>
      </c>
      <c r="H27" s="69" t="s">
        <v>45</v>
      </c>
      <c r="I27" s="65" t="s">
        <v>45</v>
      </c>
      <c r="J27" s="65" t="s">
        <v>45</v>
      </c>
      <c r="K27" s="65" t="s">
        <v>45</v>
      </c>
      <c r="L27" s="65" t="s">
        <v>45</v>
      </c>
      <c r="M27" s="65" t="s">
        <v>45</v>
      </c>
      <c r="N27" s="159"/>
      <c r="O27" s="159"/>
      <c r="P27" s="68" t="s">
        <v>34</v>
      </c>
      <c r="Q27" s="163"/>
    </row>
    <row r="28" spans="2:17" ht="30" customHeight="1" x14ac:dyDescent="0.3">
      <c r="B28" s="87">
        <f t="shared" ref="B28" si="6">B18+1</f>
        <v>3</v>
      </c>
      <c r="C28" s="159" t="str">
        <f t="shared" ref="C28" si="7">CONCATENATE(N28," - "," ","PLC")</f>
        <v>VTP-07/VFD -  PLC</v>
      </c>
      <c r="D28" s="89" t="s">
        <v>200</v>
      </c>
      <c r="E28" s="67" t="s">
        <v>13</v>
      </c>
      <c r="F28" s="77">
        <v>1</v>
      </c>
      <c r="G28" s="80">
        <v>5</v>
      </c>
      <c r="H28" s="69" t="str">
        <f t="shared" si="1"/>
        <v>1T0105</v>
      </c>
      <c r="I28" s="65">
        <v>11</v>
      </c>
      <c r="J28" s="65" t="str">
        <f>CONCATENATE(I28,"-",H28,"/",K28,"-",L28)</f>
        <v>11-1T0105/VFD-03-X2: 29</v>
      </c>
      <c r="K28" s="65" t="s">
        <v>423</v>
      </c>
      <c r="L28" s="65" t="s">
        <v>426</v>
      </c>
      <c r="M28" s="65" t="str">
        <f t="shared" ref="M28:M35" si="8">CONCATENATE(L28,"-",K28,"/",H28,"-",I28)</f>
        <v>X2: 29-VFD-03/1T0105-11</v>
      </c>
      <c r="N28" s="159" t="s">
        <v>298</v>
      </c>
      <c r="O28" s="159" t="s">
        <v>218</v>
      </c>
      <c r="P28" s="68" t="s">
        <v>213</v>
      </c>
      <c r="Q28" s="161" t="str" cm="1">
        <f t="array" ref="Q28">UPPER(
"In PLC side, "&amp;
_xlfn.TEXTJOIN(", ",TRUE,
H28:INDEX(H28:H37,MATCH("COMMON",P28:P37,0)-2)&amp;
": "&amp;
(I28:INDEX(I28:I37,MATCH("COMMON",P28:P37,0)-2)+1)
)&amp;
" &amp; "&amp;
INDEX(H28:H37,MATCH("COMMON",P28:P37,0)-1)&amp;": "&amp;
INDEX(I28:I37,MATCH("COMMON",P28:P37,0)-1)+1&amp;
" are already looped"
)
&amp;CHAR(10)&amp;CHAR(10)&amp;
"IN "&amp;K28&amp;" SIDE, TERMINALS X2: 28, 30 &amp; 34 NEEDS TO BE LOOPED TOGETHER"</f>
        <v>IN PLC SIDE, 1T0105: 12, 1T0105: 14, 1T0105: 16 &amp; 1T0105: 18 ARE ALREADY LOOPED
IN VFD-03 SIDE, TERMINALS X2: 28, 30 &amp; 34 NEEDS TO BE LOOPED TOGETHER</v>
      </c>
    </row>
    <row r="29" spans="2:17" ht="30" customHeight="1" x14ac:dyDescent="0.3">
      <c r="B29" s="87"/>
      <c r="C29" s="159"/>
      <c r="D29" s="89"/>
      <c r="E29" s="67" t="s">
        <v>14</v>
      </c>
      <c r="F29" s="77">
        <v>1</v>
      </c>
      <c r="G29" s="80">
        <v>5</v>
      </c>
      <c r="H29" s="69" t="str">
        <f t="shared" si="1"/>
        <v>1T0105</v>
      </c>
      <c r="I29" s="65">
        <f>I28+2</f>
        <v>13</v>
      </c>
      <c r="J29" s="65" t="str">
        <f t="shared" ref="J29:J35" si="9">CONCATENATE(I29,"-",H29,"/",K29,"-",L29)</f>
        <v>13-1T0105/VFD-03-X2: 27</v>
      </c>
      <c r="K29" s="65" t="s">
        <v>423</v>
      </c>
      <c r="L29" s="65" t="s">
        <v>429</v>
      </c>
      <c r="M29" s="65" t="str">
        <f t="shared" si="8"/>
        <v>X2: 27-VFD-03/1T0105-13</v>
      </c>
      <c r="N29" s="159"/>
      <c r="O29" s="159"/>
      <c r="P29" s="68" t="s">
        <v>214</v>
      </c>
      <c r="Q29" s="162"/>
    </row>
    <row r="30" spans="2:17" ht="30" customHeight="1" x14ac:dyDescent="0.3">
      <c r="B30" s="87"/>
      <c r="C30" s="159"/>
      <c r="D30" s="89"/>
      <c r="E30" s="67" t="s">
        <v>15</v>
      </c>
      <c r="F30" s="77">
        <v>1</v>
      </c>
      <c r="G30" s="80">
        <v>5</v>
      </c>
      <c r="H30" s="69" t="str">
        <f t="shared" si="1"/>
        <v>1T0105</v>
      </c>
      <c r="I30" s="65">
        <f>I29+2</f>
        <v>15</v>
      </c>
      <c r="J30" s="65" t="str">
        <f t="shared" si="9"/>
        <v>15-1T0105/VFD-03-NA</v>
      </c>
      <c r="K30" s="65" t="s">
        <v>423</v>
      </c>
      <c r="L30" s="65" t="s">
        <v>430</v>
      </c>
      <c r="M30" s="65" t="str">
        <f t="shared" si="8"/>
        <v>NA-VFD-03/1T0105-15</v>
      </c>
      <c r="N30" s="159"/>
      <c r="O30" s="159"/>
      <c r="P30" s="68" t="s">
        <v>215</v>
      </c>
      <c r="Q30" s="162"/>
    </row>
    <row r="31" spans="2:17" ht="30" customHeight="1" x14ac:dyDescent="0.3">
      <c r="B31" s="87"/>
      <c r="C31" s="159"/>
      <c r="D31" s="89"/>
      <c r="E31" s="67" t="s">
        <v>16</v>
      </c>
      <c r="F31" s="77">
        <v>1</v>
      </c>
      <c r="G31" s="80">
        <v>5</v>
      </c>
      <c r="H31" s="69" t="str">
        <f t="shared" si="1"/>
        <v>1T0105</v>
      </c>
      <c r="I31" s="65">
        <f>I30+2</f>
        <v>17</v>
      </c>
      <c r="J31" s="65" t="str">
        <f t="shared" si="9"/>
        <v>17-1T0105/VFD-03-X2: 33</v>
      </c>
      <c r="K31" s="65" t="s">
        <v>423</v>
      </c>
      <c r="L31" s="65" t="s">
        <v>427</v>
      </c>
      <c r="M31" s="65" t="str">
        <f t="shared" si="8"/>
        <v>X2: 33-VFD-03/1T0105-17</v>
      </c>
      <c r="N31" s="159"/>
      <c r="O31" s="159"/>
      <c r="P31" s="68" t="s">
        <v>216</v>
      </c>
      <c r="Q31" s="162"/>
    </row>
    <row r="32" spans="2:17" ht="30" customHeight="1" x14ac:dyDescent="0.3">
      <c r="B32" s="87"/>
      <c r="C32" s="159"/>
      <c r="D32" s="89"/>
      <c r="E32" s="67" t="s">
        <v>17</v>
      </c>
      <c r="F32" s="77">
        <v>1</v>
      </c>
      <c r="G32" s="80">
        <v>5</v>
      </c>
      <c r="H32" s="69" t="str">
        <f t="shared" si="1"/>
        <v>1T0105</v>
      </c>
      <c r="I32" s="65">
        <f>I31+1</f>
        <v>18</v>
      </c>
      <c r="J32" s="65" t="str">
        <f t="shared" si="9"/>
        <v>18-1T0105/VFD-03-X2: 34</v>
      </c>
      <c r="K32" s="65" t="s">
        <v>423</v>
      </c>
      <c r="L32" s="65" t="s">
        <v>428</v>
      </c>
      <c r="M32" s="65" t="str">
        <f t="shared" si="8"/>
        <v>X2: 34-VFD-03/1T0105-18</v>
      </c>
      <c r="N32" s="159"/>
      <c r="O32" s="159"/>
      <c r="P32" s="68" t="s">
        <v>31</v>
      </c>
      <c r="Q32" s="163"/>
    </row>
    <row r="33" spans="2:17" ht="30" customHeight="1" x14ac:dyDescent="0.3">
      <c r="B33" s="87"/>
      <c r="C33" s="159"/>
      <c r="D33" s="89"/>
      <c r="E33" s="67" t="s">
        <v>18</v>
      </c>
      <c r="F33" s="77">
        <v>4</v>
      </c>
      <c r="G33" s="80">
        <v>2</v>
      </c>
      <c r="H33" s="69" t="str">
        <f t="shared" si="1"/>
        <v>1T0402</v>
      </c>
      <c r="I33" s="65">
        <v>1</v>
      </c>
      <c r="J33" s="65" t="str">
        <f t="shared" si="9"/>
        <v>1-1T0402/VFD-03-X2: 7</v>
      </c>
      <c r="K33" s="65" t="s">
        <v>423</v>
      </c>
      <c r="L33" s="65" t="s">
        <v>431</v>
      </c>
      <c r="M33" s="65" t="str">
        <f t="shared" si="8"/>
        <v>X2: 7-VFD-03/1T0402-1</v>
      </c>
      <c r="N33" s="159"/>
      <c r="O33" s="159"/>
      <c r="P33" s="68" t="s">
        <v>114</v>
      </c>
      <c r="Q33" s="161" t="str">
        <f>"IN "&amp;K28&amp;" SIDE, TERMINALS X2: 8 &amp; 10 ARE ALREADY LOOPED TOGETHER"</f>
        <v>IN VFD-03 SIDE, TERMINALS X2: 8 &amp; 10 ARE ALREADY LOOPED TOGETHER</v>
      </c>
    </row>
    <row r="34" spans="2:17" ht="30" customHeight="1" x14ac:dyDescent="0.3">
      <c r="B34" s="87"/>
      <c r="C34" s="159"/>
      <c r="D34" s="89"/>
      <c r="E34" s="67" t="s">
        <v>19</v>
      </c>
      <c r="F34" s="77">
        <v>4</v>
      </c>
      <c r="G34" s="80">
        <v>2</v>
      </c>
      <c r="H34" s="69" t="str">
        <f t="shared" si="1"/>
        <v>1T0402</v>
      </c>
      <c r="I34" s="65">
        <f>I33+2</f>
        <v>3</v>
      </c>
      <c r="J34" s="65" t="str">
        <f t="shared" si="9"/>
        <v>3-1T0402/VFD-03-X2: 9</v>
      </c>
      <c r="K34" s="65" t="s">
        <v>423</v>
      </c>
      <c r="L34" s="65" t="s">
        <v>432</v>
      </c>
      <c r="M34" s="65" t="str">
        <f t="shared" si="8"/>
        <v>X2: 9-VFD-03/1T0402-3</v>
      </c>
      <c r="N34" s="159"/>
      <c r="O34" s="159"/>
      <c r="P34" s="68" t="s">
        <v>115</v>
      </c>
      <c r="Q34" s="162"/>
    </row>
    <row r="35" spans="2:17" ht="30" customHeight="1" x14ac:dyDescent="0.3">
      <c r="B35" s="87"/>
      <c r="C35" s="159"/>
      <c r="D35" s="89"/>
      <c r="E35" s="67" t="s">
        <v>20</v>
      </c>
      <c r="F35" s="77">
        <v>4</v>
      </c>
      <c r="G35" s="80">
        <v>2</v>
      </c>
      <c r="H35" s="69" t="str">
        <f t="shared" si="1"/>
        <v>1T0402</v>
      </c>
      <c r="I35" s="65">
        <f>I34+1</f>
        <v>4</v>
      </c>
      <c r="J35" s="65" t="str">
        <f t="shared" si="9"/>
        <v>4-1T0402/VFD-03-X2: 10</v>
      </c>
      <c r="K35" s="65" t="s">
        <v>423</v>
      </c>
      <c r="L35" s="65" t="s">
        <v>433</v>
      </c>
      <c r="M35" s="65" t="str">
        <f t="shared" si="8"/>
        <v>X2: 10-VFD-03/1T0402-4</v>
      </c>
      <c r="N35" s="159"/>
      <c r="O35" s="159"/>
      <c r="P35" s="68" t="s">
        <v>31</v>
      </c>
      <c r="Q35" s="162"/>
    </row>
    <row r="36" spans="2:17" ht="30" customHeight="1" x14ac:dyDescent="0.3">
      <c r="B36" s="87"/>
      <c r="C36" s="159"/>
      <c r="D36" s="89"/>
      <c r="E36" s="67" t="s">
        <v>21</v>
      </c>
      <c r="F36" s="77" t="s">
        <v>45</v>
      </c>
      <c r="G36" s="80" t="s">
        <v>45</v>
      </c>
      <c r="H36" s="69" t="s">
        <v>45</v>
      </c>
      <c r="I36" s="65" t="s">
        <v>45</v>
      </c>
      <c r="J36" s="65" t="s">
        <v>45</v>
      </c>
      <c r="K36" s="65" t="s">
        <v>45</v>
      </c>
      <c r="L36" s="65" t="s">
        <v>45</v>
      </c>
      <c r="M36" s="65" t="s">
        <v>45</v>
      </c>
      <c r="N36" s="159"/>
      <c r="O36" s="159"/>
      <c r="P36" s="68" t="s">
        <v>34</v>
      </c>
      <c r="Q36" s="162"/>
    </row>
    <row r="37" spans="2:17" ht="30" customHeight="1" x14ac:dyDescent="0.3">
      <c r="B37" s="87"/>
      <c r="C37" s="159"/>
      <c r="D37" s="89"/>
      <c r="E37" s="67" t="s">
        <v>30</v>
      </c>
      <c r="F37" s="77" t="s">
        <v>45</v>
      </c>
      <c r="G37" s="80" t="s">
        <v>45</v>
      </c>
      <c r="H37" s="69" t="s">
        <v>45</v>
      </c>
      <c r="I37" s="65" t="s">
        <v>45</v>
      </c>
      <c r="J37" s="65" t="s">
        <v>45</v>
      </c>
      <c r="K37" s="65" t="s">
        <v>45</v>
      </c>
      <c r="L37" s="65" t="s">
        <v>45</v>
      </c>
      <c r="M37" s="65" t="s">
        <v>45</v>
      </c>
      <c r="N37" s="159"/>
      <c r="O37" s="159"/>
      <c r="P37" s="68" t="s">
        <v>34</v>
      </c>
      <c r="Q37" s="163"/>
    </row>
    <row r="38" spans="2:17" ht="30" customHeight="1" x14ac:dyDescent="0.3">
      <c r="B38" s="87">
        <f t="shared" ref="B38" si="10">B28+1</f>
        <v>4</v>
      </c>
      <c r="C38" s="159" t="str">
        <f t="shared" ref="C38" si="11">CONCATENATE(N38," - "," ","PLC")</f>
        <v>VTP-08/VFD -  PLC</v>
      </c>
      <c r="D38" s="89" t="s">
        <v>200</v>
      </c>
      <c r="E38" s="67" t="s">
        <v>13</v>
      </c>
      <c r="F38" s="77">
        <v>1</v>
      </c>
      <c r="G38" s="80">
        <v>6</v>
      </c>
      <c r="H38" s="69" t="str">
        <f t="shared" si="1"/>
        <v>1T0106</v>
      </c>
      <c r="I38" s="65">
        <v>5</v>
      </c>
      <c r="J38" s="65" t="str">
        <f>CONCATENATE(I38,"-",H38,"/",K38,"-",L38)</f>
        <v>5-1T0106/VFD-04-X2: 29</v>
      </c>
      <c r="K38" s="65" t="s">
        <v>424</v>
      </c>
      <c r="L38" s="65" t="s">
        <v>426</v>
      </c>
      <c r="M38" s="65" t="str">
        <f t="shared" ref="M38:M45" si="12">CONCATENATE(L38,"-",K38,"/",H38,"-",I38)</f>
        <v>X2: 29-VFD-04/1T0106-5</v>
      </c>
      <c r="N38" s="159" t="s">
        <v>299</v>
      </c>
      <c r="O38" s="159" t="s">
        <v>219</v>
      </c>
      <c r="P38" s="68" t="s">
        <v>213</v>
      </c>
      <c r="Q38" s="161" t="str" cm="1">
        <f t="array" ref="Q38">UPPER(
"In PLC side, "&amp;
_xlfn.TEXTJOIN(", ",TRUE,
H38:INDEX(H38:H47,MATCH("COMMON",P38:P47,0)-2)&amp;
": "&amp;
(I38:INDEX(I38:I47,MATCH("COMMON",P38:P47,0)-2)+1)
)&amp;
" &amp; "&amp;
INDEX(H38:H47,MATCH("COMMON",P38:P47,0)-1)&amp;": "&amp;
INDEX(I38:I47,MATCH("COMMON",P38:P47,0)-1)+1&amp;
" are already looped"
)
&amp;CHAR(10)&amp;CHAR(10)&amp;
"IN "&amp;K38&amp;" SIDE, TERMINALS X2: 28, 30 &amp; 34 NEEDS TO BE LOOPED TOGETHER"</f>
        <v>IN PLC SIDE, 1T0106: 6, 1T0106: 8, 1T0106: 10 &amp; 1T0106: 12 ARE ALREADY LOOPED
IN VFD-04 SIDE, TERMINALS X2: 28, 30 &amp; 34 NEEDS TO BE LOOPED TOGETHER</v>
      </c>
    </row>
    <row r="39" spans="2:17" ht="30" customHeight="1" x14ac:dyDescent="0.3">
      <c r="B39" s="87"/>
      <c r="C39" s="159"/>
      <c r="D39" s="89"/>
      <c r="E39" s="67" t="s">
        <v>14</v>
      </c>
      <c r="F39" s="77">
        <v>1</v>
      </c>
      <c r="G39" s="80">
        <v>6</v>
      </c>
      <c r="H39" s="69" t="str">
        <f t="shared" si="1"/>
        <v>1T0106</v>
      </c>
      <c r="I39" s="65">
        <f>I38+2</f>
        <v>7</v>
      </c>
      <c r="J39" s="65" t="str">
        <f t="shared" ref="J39:J45" si="13">CONCATENATE(I39,"-",H39,"/",K39,"-",L39)</f>
        <v>7-1T0106/VFD-04-X2: 27</v>
      </c>
      <c r="K39" s="65" t="s">
        <v>424</v>
      </c>
      <c r="L39" s="65" t="s">
        <v>429</v>
      </c>
      <c r="M39" s="65" t="str">
        <f t="shared" si="12"/>
        <v>X2: 27-VFD-04/1T0106-7</v>
      </c>
      <c r="N39" s="159"/>
      <c r="O39" s="159"/>
      <c r="P39" s="68" t="s">
        <v>214</v>
      </c>
      <c r="Q39" s="162"/>
    </row>
    <row r="40" spans="2:17" ht="30" customHeight="1" x14ac:dyDescent="0.3">
      <c r="B40" s="87"/>
      <c r="C40" s="159"/>
      <c r="D40" s="89"/>
      <c r="E40" s="67" t="s">
        <v>15</v>
      </c>
      <c r="F40" s="77">
        <v>1</v>
      </c>
      <c r="G40" s="80">
        <v>6</v>
      </c>
      <c r="H40" s="69" t="str">
        <f t="shared" si="1"/>
        <v>1T0106</v>
      </c>
      <c r="I40" s="65">
        <f>I39+2</f>
        <v>9</v>
      </c>
      <c r="J40" s="65" t="str">
        <f t="shared" si="13"/>
        <v>9-1T0106/VFD-04-NA</v>
      </c>
      <c r="K40" s="65" t="s">
        <v>424</v>
      </c>
      <c r="L40" s="65" t="s">
        <v>430</v>
      </c>
      <c r="M40" s="65" t="str">
        <f t="shared" si="12"/>
        <v>NA-VFD-04/1T0106-9</v>
      </c>
      <c r="N40" s="159"/>
      <c r="O40" s="159"/>
      <c r="P40" s="68" t="s">
        <v>215</v>
      </c>
      <c r="Q40" s="162"/>
    </row>
    <row r="41" spans="2:17" ht="30" customHeight="1" x14ac:dyDescent="0.3">
      <c r="B41" s="87"/>
      <c r="C41" s="159"/>
      <c r="D41" s="89"/>
      <c r="E41" s="67" t="s">
        <v>16</v>
      </c>
      <c r="F41" s="77">
        <v>1</v>
      </c>
      <c r="G41" s="80">
        <v>6</v>
      </c>
      <c r="H41" s="69" t="str">
        <f t="shared" si="1"/>
        <v>1T0106</v>
      </c>
      <c r="I41" s="65">
        <f>I40+2</f>
        <v>11</v>
      </c>
      <c r="J41" s="65" t="str">
        <f t="shared" si="13"/>
        <v>11-1T0106/VFD-04-X2: 33</v>
      </c>
      <c r="K41" s="65" t="s">
        <v>424</v>
      </c>
      <c r="L41" s="65" t="s">
        <v>427</v>
      </c>
      <c r="M41" s="65" t="str">
        <f t="shared" si="12"/>
        <v>X2: 33-VFD-04/1T0106-11</v>
      </c>
      <c r="N41" s="159"/>
      <c r="O41" s="159"/>
      <c r="P41" s="68" t="s">
        <v>216</v>
      </c>
      <c r="Q41" s="162"/>
    </row>
    <row r="42" spans="2:17" ht="30" customHeight="1" x14ac:dyDescent="0.3">
      <c r="B42" s="87"/>
      <c r="C42" s="159"/>
      <c r="D42" s="89"/>
      <c r="E42" s="67" t="s">
        <v>17</v>
      </c>
      <c r="F42" s="77">
        <v>1</v>
      </c>
      <c r="G42" s="80">
        <v>6</v>
      </c>
      <c r="H42" s="69" t="str">
        <f t="shared" si="1"/>
        <v>1T0106</v>
      </c>
      <c r="I42" s="65">
        <f>I41+1</f>
        <v>12</v>
      </c>
      <c r="J42" s="65" t="str">
        <f t="shared" si="13"/>
        <v>12-1T0106/VFD-04-X2: 34</v>
      </c>
      <c r="K42" s="65" t="s">
        <v>424</v>
      </c>
      <c r="L42" s="65" t="s">
        <v>428</v>
      </c>
      <c r="M42" s="65" t="str">
        <f t="shared" si="12"/>
        <v>X2: 34-VFD-04/1T0106-12</v>
      </c>
      <c r="N42" s="159"/>
      <c r="O42" s="159"/>
      <c r="P42" s="68" t="s">
        <v>31</v>
      </c>
      <c r="Q42" s="163"/>
    </row>
    <row r="43" spans="2:17" ht="30" customHeight="1" x14ac:dyDescent="0.3">
      <c r="B43" s="87"/>
      <c r="C43" s="159"/>
      <c r="D43" s="89"/>
      <c r="E43" s="67" t="s">
        <v>18</v>
      </c>
      <c r="F43" s="77">
        <v>4</v>
      </c>
      <c r="G43" s="80">
        <v>2</v>
      </c>
      <c r="H43" s="69" t="str">
        <f t="shared" si="1"/>
        <v>1T0402</v>
      </c>
      <c r="I43" s="65">
        <v>9</v>
      </c>
      <c r="J43" s="65" t="str">
        <f t="shared" si="13"/>
        <v>9-1T0402/VFD-04-X2: 7</v>
      </c>
      <c r="K43" s="65" t="s">
        <v>424</v>
      </c>
      <c r="L43" s="65" t="s">
        <v>431</v>
      </c>
      <c r="M43" s="65" t="str">
        <f t="shared" si="12"/>
        <v>X2: 7-VFD-04/1T0402-9</v>
      </c>
      <c r="N43" s="159"/>
      <c r="O43" s="159"/>
      <c r="P43" s="68" t="s">
        <v>114</v>
      </c>
      <c r="Q43" s="161" t="str">
        <f>"IN "&amp;K38&amp;" SIDE, TERMINALS X2: 8 &amp; 10 ARE ALREADY LOOPED TOGETHER"</f>
        <v>IN VFD-04 SIDE, TERMINALS X2: 8 &amp; 10 ARE ALREADY LOOPED TOGETHER</v>
      </c>
    </row>
    <row r="44" spans="2:17" ht="30" customHeight="1" x14ac:dyDescent="0.3">
      <c r="B44" s="87"/>
      <c r="C44" s="159"/>
      <c r="D44" s="89"/>
      <c r="E44" s="67" t="s">
        <v>19</v>
      </c>
      <c r="F44" s="77">
        <v>4</v>
      </c>
      <c r="G44" s="80">
        <v>2</v>
      </c>
      <c r="H44" s="69" t="str">
        <f t="shared" si="1"/>
        <v>1T0402</v>
      </c>
      <c r="I44" s="65">
        <f>I43+2</f>
        <v>11</v>
      </c>
      <c r="J44" s="65" t="str">
        <f t="shared" si="13"/>
        <v>11-1T0402/VFD-04-X2: 9</v>
      </c>
      <c r="K44" s="65" t="s">
        <v>424</v>
      </c>
      <c r="L44" s="65" t="s">
        <v>432</v>
      </c>
      <c r="M44" s="65" t="str">
        <f t="shared" si="12"/>
        <v>X2: 9-VFD-04/1T0402-11</v>
      </c>
      <c r="N44" s="159"/>
      <c r="O44" s="159"/>
      <c r="P44" s="68" t="s">
        <v>115</v>
      </c>
      <c r="Q44" s="162"/>
    </row>
    <row r="45" spans="2:17" ht="30" customHeight="1" x14ac:dyDescent="0.3">
      <c r="B45" s="87"/>
      <c r="C45" s="159"/>
      <c r="D45" s="89"/>
      <c r="E45" s="67" t="s">
        <v>20</v>
      </c>
      <c r="F45" s="77">
        <v>4</v>
      </c>
      <c r="G45" s="80">
        <v>2</v>
      </c>
      <c r="H45" s="69" t="str">
        <f t="shared" si="1"/>
        <v>1T0402</v>
      </c>
      <c r="I45" s="65">
        <f>I44+1</f>
        <v>12</v>
      </c>
      <c r="J45" s="65" t="str">
        <f t="shared" si="13"/>
        <v>12-1T0402/VFD-04-X2: 10</v>
      </c>
      <c r="K45" s="65" t="s">
        <v>424</v>
      </c>
      <c r="L45" s="65" t="s">
        <v>433</v>
      </c>
      <c r="M45" s="65" t="str">
        <f t="shared" si="12"/>
        <v>X2: 10-VFD-04/1T0402-12</v>
      </c>
      <c r="N45" s="159"/>
      <c r="O45" s="159"/>
      <c r="P45" s="68" t="s">
        <v>31</v>
      </c>
      <c r="Q45" s="162"/>
    </row>
    <row r="46" spans="2:17" ht="30" customHeight="1" x14ac:dyDescent="0.3">
      <c r="B46" s="87"/>
      <c r="C46" s="159"/>
      <c r="D46" s="89"/>
      <c r="E46" s="67" t="s">
        <v>21</v>
      </c>
      <c r="F46" s="77" t="s">
        <v>45</v>
      </c>
      <c r="G46" s="80" t="s">
        <v>45</v>
      </c>
      <c r="H46" s="69" t="s">
        <v>45</v>
      </c>
      <c r="I46" s="65" t="s">
        <v>45</v>
      </c>
      <c r="J46" s="65" t="s">
        <v>45</v>
      </c>
      <c r="K46" s="65" t="s">
        <v>45</v>
      </c>
      <c r="L46" s="65" t="s">
        <v>45</v>
      </c>
      <c r="M46" s="65" t="s">
        <v>45</v>
      </c>
      <c r="N46" s="159"/>
      <c r="O46" s="159"/>
      <c r="P46" s="68" t="s">
        <v>34</v>
      </c>
      <c r="Q46" s="162"/>
    </row>
    <row r="47" spans="2:17" ht="30" customHeight="1" x14ac:dyDescent="0.3">
      <c r="B47" s="87"/>
      <c r="C47" s="159"/>
      <c r="D47" s="89"/>
      <c r="E47" s="67" t="s">
        <v>30</v>
      </c>
      <c r="F47" s="77" t="s">
        <v>45</v>
      </c>
      <c r="G47" s="80" t="s">
        <v>45</v>
      </c>
      <c r="H47" s="69" t="s">
        <v>45</v>
      </c>
      <c r="I47" s="65" t="s">
        <v>45</v>
      </c>
      <c r="J47" s="65" t="s">
        <v>45</v>
      </c>
      <c r="K47" s="65" t="s">
        <v>45</v>
      </c>
      <c r="L47" s="65" t="s">
        <v>45</v>
      </c>
      <c r="M47" s="65" t="s">
        <v>45</v>
      </c>
      <c r="N47" s="159"/>
      <c r="O47" s="159"/>
      <c r="P47" s="68" t="s">
        <v>34</v>
      </c>
      <c r="Q47" s="163"/>
    </row>
    <row r="48" spans="2:17" ht="30" customHeight="1" x14ac:dyDescent="0.3">
      <c r="B48" s="87">
        <f t="shared" ref="B48" si="14">B38+1</f>
        <v>5</v>
      </c>
      <c r="C48" s="159" t="str">
        <f t="shared" ref="C48" si="15">CONCATENATE(N48," - "," ","PLC")</f>
        <v>VTP-09/VFD -  PLC</v>
      </c>
      <c r="D48" s="89" t="s">
        <v>200</v>
      </c>
      <c r="E48" s="67" t="s">
        <v>13</v>
      </c>
      <c r="F48" s="77">
        <v>1</v>
      </c>
      <c r="G48" s="80">
        <v>6</v>
      </c>
      <c r="H48" s="69" t="str">
        <f t="shared" si="1"/>
        <v>1T0106</v>
      </c>
      <c r="I48" s="65">
        <v>25</v>
      </c>
      <c r="J48" s="65" t="str">
        <f>CONCATENATE(I48,"-",H48,"/",K48,"-",L48)</f>
        <v>25-1T0106/VFD-05-X2: 29</v>
      </c>
      <c r="K48" s="65" t="s">
        <v>425</v>
      </c>
      <c r="L48" s="65" t="s">
        <v>426</v>
      </c>
      <c r="M48" s="65" t="str">
        <f t="shared" ref="M48:M55" si="16">CONCATENATE(L48,"-",K48,"/",H48,"-",I48)</f>
        <v>X2: 29-VFD-05/1T0106-25</v>
      </c>
      <c r="N48" s="159" t="s">
        <v>300</v>
      </c>
      <c r="O48" s="159" t="s">
        <v>220</v>
      </c>
      <c r="P48" s="68" t="s">
        <v>213</v>
      </c>
      <c r="Q48" s="161" t="str" cm="1">
        <f t="array" ref="Q48">UPPER(
"In PLC side, "&amp;
_xlfn.TEXTJOIN(", ",TRUE,
H48:INDEX(H48:H57,MATCH("COMMON",P48:P57,0)-2)&amp;
": "&amp;
(I48:INDEX(I48:I57,MATCH("COMMON",P48:P57,0)-2)+1)
)&amp;
" &amp; "&amp;
INDEX(H48:H57,MATCH("COMMON",P48:P57,0)-1)&amp;": "&amp;
INDEX(I48:I57,MATCH("COMMON",P48:P57,0)-1)+1&amp;
" are already looped"
)
&amp;CHAR(10)&amp;CHAR(10)&amp;
"IN "&amp;K48&amp;" SIDE, TERMINALS X2: 28, 30 &amp; 34 NEEDS TO BE LOOPED TOGETHER"</f>
        <v>IN PLC SIDE, 1T0106: 26, 1T0107: 2, 1T0107: 4 &amp; 1T0107: 6 ARE ALREADY LOOPED
IN VFD-05 SIDE, TERMINALS X2: 28, 30 &amp; 34 NEEDS TO BE LOOPED TOGETHER</v>
      </c>
    </row>
    <row r="49" spans="2:17" ht="30" customHeight="1" x14ac:dyDescent="0.3">
      <c r="B49" s="87"/>
      <c r="C49" s="159"/>
      <c r="D49" s="89"/>
      <c r="E49" s="67" t="s">
        <v>14</v>
      </c>
      <c r="F49" s="77">
        <v>1</v>
      </c>
      <c r="G49" s="80">
        <v>7</v>
      </c>
      <c r="H49" s="69" t="str">
        <f t="shared" si="1"/>
        <v>1T0107</v>
      </c>
      <c r="I49" s="65">
        <v>1</v>
      </c>
      <c r="J49" s="65" t="str">
        <f t="shared" ref="J49:J55" si="17">CONCATENATE(I49,"-",H49,"/",K49,"-",L49)</f>
        <v>1-1T0107/VFD-05-X2: 27</v>
      </c>
      <c r="K49" s="65" t="s">
        <v>425</v>
      </c>
      <c r="L49" s="65" t="s">
        <v>429</v>
      </c>
      <c r="M49" s="65" t="str">
        <f t="shared" si="16"/>
        <v>X2: 27-VFD-05/1T0107-1</v>
      </c>
      <c r="N49" s="159"/>
      <c r="O49" s="159"/>
      <c r="P49" s="68" t="s">
        <v>214</v>
      </c>
      <c r="Q49" s="162"/>
    </row>
    <row r="50" spans="2:17" ht="30" customHeight="1" x14ac:dyDescent="0.3">
      <c r="B50" s="87"/>
      <c r="C50" s="159"/>
      <c r="D50" s="89"/>
      <c r="E50" s="67" t="s">
        <v>15</v>
      </c>
      <c r="F50" s="77">
        <v>1</v>
      </c>
      <c r="G50" s="80">
        <v>7</v>
      </c>
      <c r="H50" s="69" t="str">
        <f t="shared" si="1"/>
        <v>1T0107</v>
      </c>
      <c r="I50" s="65">
        <f>I49+2</f>
        <v>3</v>
      </c>
      <c r="J50" s="65" t="str">
        <f t="shared" si="17"/>
        <v>3-1T0107/VFD-05-NA</v>
      </c>
      <c r="K50" s="65" t="s">
        <v>425</v>
      </c>
      <c r="L50" s="65" t="s">
        <v>430</v>
      </c>
      <c r="M50" s="65" t="str">
        <f t="shared" si="16"/>
        <v>NA-VFD-05/1T0107-3</v>
      </c>
      <c r="N50" s="159"/>
      <c r="O50" s="159"/>
      <c r="P50" s="68" t="s">
        <v>215</v>
      </c>
      <c r="Q50" s="162"/>
    </row>
    <row r="51" spans="2:17" ht="30" customHeight="1" x14ac:dyDescent="0.3">
      <c r="B51" s="87"/>
      <c r="C51" s="159"/>
      <c r="D51" s="89"/>
      <c r="E51" s="67" t="s">
        <v>16</v>
      </c>
      <c r="F51" s="77">
        <v>1</v>
      </c>
      <c r="G51" s="80">
        <v>7</v>
      </c>
      <c r="H51" s="69" t="str">
        <f t="shared" si="1"/>
        <v>1T0107</v>
      </c>
      <c r="I51" s="65">
        <f>I50+2</f>
        <v>5</v>
      </c>
      <c r="J51" s="65" t="str">
        <f t="shared" si="17"/>
        <v>5-1T0107/VFD-05-X2: 33</v>
      </c>
      <c r="K51" s="65" t="s">
        <v>425</v>
      </c>
      <c r="L51" s="65" t="s">
        <v>427</v>
      </c>
      <c r="M51" s="65" t="str">
        <f t="shared" si="16"/>
        <v>X2: 33-VFD-05/1T0107-5</v>
      </c>
      <c r="N51" s="159"/>
      <c r="O51" s="159"/>
      <c r="P51" s="68" t="s">
        <v>216</v>
      </c>
      <c r="Q51" s="162"/>
    </row>
    <row r="52" spans="2:17" ht="30" customHeight="1" x14ac:dyDescent="0.3">
      <c r="B52" s="87"/>
      <c r="C52" s="159"/>
      <c r="D52" s="89"/>
      <c r="E52" s="67" t="s">
        <v>17</v>
      </c>
      <c r="F52" s="77">
        <v>1</v>
      </c>
      <c r="G52" s="80">
        <v>7</v>
      </c>
      <c r="H52" s="69" t="str">
        <f t="shared" si="1"/>
        <v>1T0107</v>
      </c>
      <c r="I52" s="65">
        <f>I51+1</f>
        <v>6</v>
      </c>
      <c r="J52" s="65" t="str">
        <f t="shared" si="17"/>
        <v>6-1T0107/VFD-05-X2: 34</v>
      </c>
      <c r="K52" s="65" t="s">
        <v>425</v>
      </c>
      <c r="L52" s="65" t="s">
        <v>428</v>
      </c>
      <c r="M52" s="65" t="str">
        <f t="shared" si="16"/>
        <v>X2: 34-VFD-05/1T0107-6</v>
      </c>
      <c r="N52" s="159"/>
      <c r="O52" s="159"/>
      <c r="P52" s="68" t="s">
        <v>31</v>
      </c>
      <c r="Q52" s="163"/>
    </row>
    <row r="53" spans="2:17" ht="30" customHeight="1" x14ac:dyDescent="0.3">
      <c r="B53" s="87"/>
      <c r="C53" s="159"/>
      <c r="D53" s="89"/>
      <c r="E53" s="67" t="s">
        <v>18</v>
      </c>
      <c r="F53" s="77">
        <v>4</v>
      </c>
      <c r="G53" s="80">
        <v>2</v>
      </c>
      <c r="H53" s="69" t="str">
        <f t="shared" si="1"/>
        <v>1T0402</v>
      </c>
      <c r="I53" s="65">
        <v>17</v>
      </c>
      <c r="J53" s="65" t="str">
        <f t="shared" si="17"/>
        <v>17-1T0402/VFD-05-X2: 7</v>
      </c>
      <c r="K53" s="65" t="s">
        <v>425</v>
      </c>
      <c r="L53" s="65" t="s">
        <v>431</v>
      </c>
      <c r="M53" s="65" t="str">
        <f t="shared" si="16"/>
        <v>X2: 7-VFD-05/1T0402-17</v>
      </c>
      <c r="N53" s="159"/>
      <c r="O53" s="159"/>
      <c r="P53" s="68" t="s">
        <v>114</v>
      </c>
      <c r="Q53" s="161" t="str">
        <f>"IN "&amp;K48&amp;" SIDE, TERMINALS X2: 8 &amp; 10 ARE ALREADY LOOPED TOGETHER"</f>
        <v>IN VFD-05 SIDE, TERMINALS X2: 8 &amp; 10 ARE ALREADY LOOPED TOGETHER</v>
      </c>
    </row>
    <row r="54" spans="2:17" ht="30" customHeight="1" x14ac:dyDescent="0.3">
      <c r="B54" s="87"/>
      <c r="C54" s="159"/>
      <c r="D54" s="89"/>
      <c r="E54" s="67" t="s">
        <v>19</v>
      </c>
      <c r="F54" s="77">
        <v>4</v>
      </c>
      <c r="G54" s="80">
        <v>2</v>
      </c>
      <c r="H54" s="69" t="str">
        <f t="shared" si="1"/>
        <v>1T0402</v>
      </c>
      <c r="I54" s="65">
        <f>I53+2</f>
        <v>19</v>
      </c>
      <c r="J54" s="65" t="str">
        <f t="shared" si="17"/>
        <v>19-1T0402/VFD-05-X2: 9</v>
      </c>
      <c r="K54" s="65" t="s">
        <v>425</v>
      </c>
      <c r="L54" s="65" t="s">
        <v>432</v>
      </c>
      <c r="M54" s="65" t="str">
        <f t="shared" si="16"/>
        <v>X2: 9-VFD-05/1T0402-19</v>
      </c>
      <c r="N54" s="159"/>
      <c r="O54" s="159"/>
      <c r="P54" s="68" t="s">
        <v>115</v>
      </c>
      <c r="Q54" s="162"/>
    </row>
    <row r="55" spans="2:17" ht="30" customHeight="1" x14ac:dyDescent="0.3">
      <c r="B55" s="87"/>
      <c r="C55" s="159"/>
      <c r="D55" s="89"/>
      <c r="E55" s="67" t="s">
        <v>20</v>
      </c>
      <c r="F55" s="77">
        <v>4</v>
      </c>
      <c r="G55" s="80">
        <v>2</v>
      </c>
      <c r="H55" s="69" t="str">
        <f t="shared" si="1"/>
        <v>1T0402</v>
      </c>
      <c r="I55" s="65">
        <f>I54+1</f>
        <v>20</v>
      </c>
      <c r="J55" s="65" t="str">
        <f t="shared" si="17"/>
        <v>20-1T0402/VFD-05-X2: 10</v>
      </c>
      <c r="K55" s="65" t="s">
        <v>425</v>
      </c>
      <c r="L55" s="65" t="s">
        <v>433</v>
      </c>
      <c r="M55" s="65" t="str">
        <f t="shared" si="16"/>
        <v>X2: 10-VFD-05/1T0402-20</v>
      </c>
      <c r="N55" s="159"/>
      <c r="O55" s="159"/>
      <c r="P55" s="68" t="s">
        <v>31</v>
      </c>
      <c r="Q55" s="162"/>
    </row>
    <row r="56" spans="2:17" ht="30" customHeight="1" x14ac:dyDescent="0.3">
      <c r="B56" s="87"/>
      <c r="C56" s="159"/>
      <c r="D56" s="89"/>
      <c r="E56" s="67" t="s">
        <v>21</v>
      </c>
      <c r="F56" s="77" t="s">
        <v>45</v>
      </c>
      <c r="G56" s="80" t="s">
        <v>45</v>
      </c>
      <c r="H56" s="69" t="s">
        <v>45</v>
      </c>
      <c r="I56" s="65" t="s">
        <v>45</v>
      </c>
      <c r="J56" s="65" t="s">
        <v>45</v>
      </c>
      <c r="K56" s="65" t="s">
        <v>45</v>
      </c>
      <c r="L56" s="65" t="s">
        <v>45</v>
      </c>
      <c r="M56" s="65" t="s">
        <v>45</v>
      </c>
      <c r="N56" s="159"/>
      <c r="O56" s="159"/>
      <c r="P56" s="68" t="s">
        <v>34</v>
      </c>
      <c r="Q56" s="162"/>
    </row>
    <row r="57" spans="2:17" ht="30" customHeight="1" x14ac:dyDescent="0.3">
      <c r="B57" s="87"/>
      <c r="C57" s="159"/>
      <c r="D57" s="89"/>
      <c r="E57" s="67" t="s">
        <v>30</v>
      </c>
      <c r="F57" s="77" t="s">
        <v>45</v>
      </c>
      <c r="G57" s="80" t="s">
        <v>45</v>
      </c>
      <c r="H57" s="69" t="s">
        <v>45</v>
      </c>
      <c r="I57" s="65" t="s">
        <v>45</v>
      </c>
      <c r="J57" s="65" t="s">
        <v>45</v>
      </c>
      <c r="K57" s="65" t="s">
        <v>45</v>
      </c>
      <c r="L57" s="65" t="s">
        <v>45</v>
      </c>
      <c r="M57" s="65" t="s">
        <v>45</v>
      </c>
      <c r="N57" s="159"/>
      <c r="O57" s="159"/>
      <c r="P57" s="68" t="s">
        <v>34</v>
      </c>
      <c r="Q57" s="163"/>
    </row>
    <row r="58" spans="2:17" ht="49.95" customHeight="1" x14ac:dyDescent="0.3">
      <c r="B58" s="90" t="s">
        <v>105</v>
      </c>
      <c r="C58" s="90"/>
      <c r="D58" s="90"/>
      <c r="E58" s="90"/>
      <c r="F58" s="90"/>
      <c r="G58" s="90"/>
      <c r="H58" s="90"/>
      <c r="I58" s="90"/>
      <c r="J58" s="90"/>
      <c r="K58" s="90"/>
      <c r="L58" s="90"/>
      <c r="M58" s="90"/>
      <c r="N58" s="90"/>
      <c r="O58" s="90"/>
      <c r="P58" s="90"/>
      <c r="Q58" s="90"/>
    </row>
  </sheetData>
  <mergeCells count="53">
    <mergeCell ref="B58:Q58"/>
    <mergeCell ref="H2:O2"/>
    <mergeCell ref="H3:O3"/>
    <mergeCell ref="H4:O4"/>
    <mergeCell ref="P4:Q4"/>
    <mergeCell ref="P3:Q3"/>
    <mergeCell ref="P2:Q2"/>
    <mergeCell ref="B8:B17"/>
    <mergeCell ref="C8:C17"/>
    <mergeCell ref="D8:D17"/>
    <mergeCell ref="N8:N17"/>
    <mergeCell ref="J5:J6"/>
    <mergeCell ref="K5:L5"/>
    <mergeCell ref="M5:M6"/>
    <mergeCell ref="N5:P5"/>
    <mergeCell ref="O8:O17"/>
    <mergeCell ref="B7:Q7"/>
    <mergeCell ref="B4:G4"/>
    <mergeCell ref="B5:B6"/>
    <mergeCell ref="C5:I5"/>
    <mergeCell ref="Q5:Q6"/>
    <mergeCell ref="Q8:Q12"/>
    <mergeCell ref="Q13:Q17"/>
    <mergeCell ref="B2:G2"/>
    <mergeCell ref="C3:G3"/>
    <mergeCell ref="N48:N57"/>
    <mergeCell ref="O48:O57"/>
    <mergeCell ref="Q48:Q52"/>
    <mergeCell ref="Q53:Q57"/>
    <mergeCell ref="B28:B37"/>
    <mergeCell ref="C28:C37"/>
    <mergeCell ref="D28:D37"/>
    <mergeCell ref="N28:N37"/>
    <mergeCell ref="O28:O37"/>
    <mergeCell ref="Q28:Q32"/>
    <mergeCell ref="B48:B57"/>
    <mergeCell ref="C48:C57"/>
    <mergeCell ref="D48:D57"/>
    <mergeCell ref="B38:B47"/>
    <mergeCell ref="Q18:Q22"/>
    <mergeCell ref="Q23:Q27"/>
    <mergeCell ref="N38:N47"/>
    <mergeCell ref="Q33:Q37"/>
    <mergeCell ref="B18:B27"/>
    <mergeCell ref="C18:C27"/>
    <mergeCell ref="D18:D27"/>
    <mergeCell ref="N18:N27"/>
    <mergeCell ref="O18:O27"/>
    <mergeCell ref="C38:C47"/>
    <mergeCell ref="D38:D47"/>
    <mergeCell ref="O38:O47"/>
    <mergeCell ref="Q38:Q42"/>
    <mergeCell ref="Q43:Q47"/>
  </mergeCells>
  <phoneticPr fontId="6" type="noConversion"/>
  <printOptions horizontalCentered="1"/>
  <pageMargins left="0.25" right="0.25" top="0.75" bottom="0.75" header="0.3" footer="0.3"/>
  <pageSetup paperSize="8" scale="40" fitToHeight="0" orientation="landscape" r:id="rId1"/>
  <headerFooter>
    <oddFooter>&amp;L&amp;1#&amp;"Calibri,Regular"&amp;8&amp;K000000Sensitivity: LNT Construction Internal Use&amp;CPage &amp;P-1 of &amp;N-1&amp;R&amp;8Designed by: GP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B2:P28"/>
  <sheetViews>
    <sheetView view="pageBreakPreview" zoomScale="40" zoomScaleNormal="85" zoomScaleSheetLayoutView="40" zoomScalePageLayoutView="78" workbookViewId="0">
      <selection activeCell="K8" sqref="K8"/>
    </sheetView>
  </sheetViews>
  <sheetFormatPr defaultColWidth="9.21875" defaultRowHeight="15.6" x14ac:dyDescent="0.3"/>
  <cols>
    <col min="1" max="1" width="2.77734375" style="2" customWidth="1"/>
    <col min="2" max="2" width="12.88671875" style="2" bestFit="1" customWidth="1"/>
    <col min="3" max="3" width="35.44140625" style="2" customWidth="1"/>
    <col min="4" max="4" width="38.109375" style="2" customWidth="1"/>
    <col min="5" max="5" width="17.21875" style="2" customWidth="1"/>
    <col min="6" max="6" width="17" style="2" customWidth="1"/>
    <col min="7" max="7" width="25.109375" style="3" customWidth="1"/>
    <col min="8" max="8" width="22.6640625" style="2" customWidth="1"/>
    <col min="9" max="9" width="40.21875" style="2" customWidth="1"/>
    <col min="10" max="10" width="28" style="2" customWidth="1"/>
    <col min="11" max="11" width="28.5546875" style="2" customWidth="1"/>
    <col min="12" max="12" width="43.77734375" style="2" customWidth="1"/>
    <col min="13" max="13" width="39.6640625" style="4" customWidth="1"/>
    <col min="14" max="14" width="17.88671875" style="2" bestFit="1" customWidth="1"/>
    <col min="15" max="15" width="81.77734375" style="2" customWidth="1"/>
    <col min="16" max="16" width="17.109375" style="2" bestFit="1" customWidth="1"/>
    <col min="17" max="16384" width="9.21875" style="2"/>
  </cols>
  <sheetData>
    <row r="2" spans="2:16" s="5" customFormat="1" ht="90" customHeight="1" x14ac:dyDescent="0.3">
      <c r="B2" s="178" t="s">
        <v>46</v>
      </c>
      <c r="C2" s="168"/>
      <c r="D2" s="168"/>
      <c r="E2" s="168"/>
      <c r="F2" s="169"/>
      <c r="G2" s="82" t="str">
        <f>Cover!B54&amp;" "&amp;Cover!B55</f>
        <v>PROJECT: DESIGN AND CONSTRUCTION FOR DHANKI TO TOKRALA (UPTO NATIONAL HIGHWAY CROSSING) BULK PIPELINE 45 KMS INCLUDING CONSTRUCTION OF RCC U/G SUMP, PUMP HOUSE, SITC OF PUMPING MACHINERY AND ANCILLARY WORKS AT DHANKI PUMPING STATION WITH 10 YEARS COMPREHENSIVE OPERATION &amp; MAINTENANCE UNDER DHANKI TO NAVDA PIPELINE PROJECT (PACKAGE NO-1 NC 42)</v>
      </c>
      <c r="H2" s="82"/>
      <c r="I2" s="82"/>
      <c r="J2" s="82"/>
      <c r="K2" s="82"/>
      <c r="L2" s="82"/>
      <c r="M2" s="82"/>
      <c r="N2" s="82" t="s">
        <v>0</v>
      </c>
      <c r="O2" s="82"/>
      <c r="P2" s="82"/>
    </row>
    <row r="3" spans="2:16" s="5" customFormat="1" ht="60" customHeight="1" x14ac:dyDescent="0.3">
      <c r="B3" s="61" t="s">
        <v>48</v>
      </c>
      <c r="C3" s="178" t="str">
        <f>Cover!$B$51</f>
        <v>GUJARAT WATER INFRASTRUCTURE LIMITED (GWIL), GANDHINAGAR</v>
      </c>
      <c r="D3" s="168"/>
      <c r="E3" s="168"/>
      <c r="F3" s="169"/>
      <c r="G3" s="82" t="s">
        <v>119</v>
      </c>
      <c r="H3" s="82"/>
      <c r="I3" s="82"/>
      <c r="J3" s="82"/>
      <c r="K3" s="82"/>
      <c r="L3" s="82"/>
      <c r="M3" s="82"/>
      <c r="N3" s="82" t="s">
        <v>22</v>
      </c>
      <c r="O3" s="82"/>
      <c r="P3" s="82"/>
    </row>
    <row r="4" spans="2:16" s="5" customFormat="1" ht="60" customHeight="1" x14ac:dyDescent="0.3">
      <c r="B4" s="183" t="s">
        <v>47</v>
      </c>
      <c r="C4" s="184"/>
      <c r="D4" s="184"/>
      <c r="E4" s="184"/>
      <c r="F4" s="185"/>
      <c r="G4" s="84" t="str">
        <f>"DOCUMENT NO: "&amp;_xlfn.CONCAT(Cover!D65:AA65)</f>
        <v>DOCUMENT NO: LE22M232-I-WS-RW-CI-5010</v>
      </c>
      <c r="H4" s="84"/>
      <c r="I4" s="84"/>
      <c r="J4" s="84"/>
      <c r="K4" s="84"/>
      <c r="L4" s="84"/>
      <c r="M4" s="84"/>
      <c r="N4" s="158">
        <f>Cover!B45</f>
        <v>46023</v>
      </c>
      <c r="O4" s="82"/>
      <c r="P4" s="82"/>
    </row>
    <row r="5" spans="2:16" s="5" customFormat="1" ht="30" customHeight="1" x14ac:dyDescent="0.3">
      <c r="B5" s="83" t="s">
        <v>32</v>
      </c>
      <c r="C5" s="84" t="s">
        <v>50</v>
      </c>
      <c r="D5" s="84"/>
      <c r="E5" s="84"/>
      <c r="F5" s="84"/>
      <c r="G5" s="84"/>
      <c r="H5" s="84"/>
      <c r="I5" s="82" t="s">
        <v>107</v>
      </c>
      <c r="J5" s="84" t="s">
        <v>90</v>
      </c>
      <c r="K5" s="84"/>
      <c r="L5" s="82" t="s">
        <v>113</v>
      </c>
      <c r="M5" s="84" t="s">
        <v>94</v>
      </c>
      <c r="N5" s="84"/>
      <c r="O5" s="84"/>
      <c r="P5" s="83" t="s">
        <v>51</v>
      </c>
    </row>
    <row r="6" spans="2:16" s="5" customFormat="1" ht="60" customHeight="1" x14ac:dyDescent="0.3">
      <c r="B6" s="83"/>
      <c r="C6" s="63" t="s">
        <v>4</v>
      </c>
      <c r="D6" s="63" t="s">
        <v>3</v>
      </c>
      <c r="E6" s="63" t="s">
        <v>321</v>
      </c>
      <c r="F6" s="63" t="s">
        <v>322</v>
      </c>
      <c r="G6" s="63" t="s">
        <v>35</v>
      </c>
      <c r="H6" s="63" t="s">
        <v>36</v>
      </c>
      <c r="I6" s="84"/>
      <c r="J6" s="63" t="s">
        <v>91</v>
      </c>
      <c r="K6" s="63" t="s">
        <v>6</v>
      </c>
      <c r="L6" s="84"/>
      <c r="M6" s="63" t="s">
        <v>23</v>
      </c>
      <c r="N6" s="63" t="s">
        <v>6</v>
      </c>
      <c r="O6" s="63" t="s">
        <v>25</v>
      </c>
      <c r="P6" s="83"/>
    </row>
    <row r="7" spans="2:16" ht="30" customHeight="1" x14ac:dyDescent="0.3">
      <c r="B7" s="177" t="s">
        <v>439</v>
      </c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</row>
    <row r="8" spans="2:16" s="6" customFormat="1" ht="30" customHeight="1" x14ac:dyDescent="0.25">
      <c r="B8" s="88">
        <v>1</v>
      </c>
      <c r="C8" s="174" t="str">
        <f>M8&amp;" - PLC"</f>
        <v>VTP-01/VFD - PLC</v>
      </c>
      <c r="D8" s="174" t="s">
        <v>217</v>
      </c>
      <c r="E8" s="77">
        <v>5</v>
      </c>
      <c r="F8" s="77">
        <v>2</v>
      </c>
      <c r="G8" s="69" t="str">
        <f>"1T"&amp;TEXT(E8,"00")&amp;TEXT(F8,"00")</f>
        <v>1T0502</v>
      </c>
      <c r="H8" s="65">
        <v>1</v>
      </c>
      <c r="I8" s="65" t="str">
        <f>CONCATENATE(H8,"-",G8,"/",J8,"-",K8)</f>
        <v>1-1T0502/VFD-01-X3: 1</v>
      </c>
      <c r="J8" s="65" t="s">
        <v>421</v>
      </c>
      <c r="K8" s="65" t="s">
        <v>434</v>
      </c>
      <c r="L8" s="65" t="str">
        <f>CONCATENATE(K8,"-",J8,"/",G8,"-",H8,N8)</f>
        <v>X3: 1-VFD-01/1T0502-1(+)</v>
      </c>
      <c r="M8" s="174" t="s">
        <v>296</v>
      </c>
      <c r="N8" s="64" t="s">
        <v>11</v>
      </c>
      <c r="O8" s="159" t="s">
        <v>302</v>
      </c>
      <c r="P8" s="170"/>
    </row>
    <row r="9" spans="2:16" s="6" customFormat="1" ht="30" customHeight="1" x14ac:dyDescent="0.25">
      <c r="B9" s="88"/>
      <c r="C9" s="175"/>
      <c r="D9" s="175"/>
      <c r="E9" s="77">
        <v>5</v>
      </c>
      <c r="F9" s="77">
        <v>2</v>
      </c>
      <c r="G9" s="69" t="str">
        <f t="shared" ref="G9:G27" si="0">"1T"&amp;TEXT(E9,"00")&amp;TEXT(F9,"00")</f>
        <v>1T0502</v>
      </c>
      <c r="H9" s="65">
        <f>H8+1</f>
        <v>2</v>
      </c>
      <c r="I9" s="65" t="str">
        <f t="shared" ref="I9:I27" si="1">CONCATENATE(H9,"-",G9,"/",J9,"-",K9)</f>
        <v>2-1T0502/VFD-01-X3: 2</v>
      </c>
      <c r="J9" s="65" t="s">
        <v>421</v>
      </c>
      <c r="K9" s="65" t="s">
        <v>435</v>
      </c>
      <c r="L9" s="65" t="str">
        <f t="shared" ref="L9:L27" si="2">CONCATENATE(K9,"-",J9,"/",G9,"-",H9,N9)</f>
        <v>X3: 2-VFD-01/1T0502-2(-)</v>
      </c>
      <c r="M9" s="175"/>
      <c r="N9" s="64" t="s">
        <v>12</v>
      </c>
      <c r="O9" s="159"/>
      <c r="P9" s="172"/>
    </row>
    <row r="10" spans="2:16" s="6" customFormat="1" ht="30" customHeight="1" x14ac:dyDescent="0.25">
      <c r="B10" s="88">
        <v>2</v>
      </c>
      <c r="C10" s="175"/>
      <c r="D10" s="175"/>
      <c r="E10" s="77">
        <v>5</v>
      </c>
      <c r="F10" s="77">
        <v>3</v>
      </c>
      <c r="G10" s="69" t="str">
        <f t="shared" si="0"/>
        <v>1T0503</v>
      </c>
      <c r="H10" s="69">
        <v>1</v>
      </c>
      <c r="I10" s="65" t="str">
        <f t="shared" si="1"/>
        <v>1-1T0503/VFD-01-X3: 7</v>
      </c>
      <c r="J10" s="65" t="s">
        <v>421</v>
      </c>
      <c r="K10" s="65" t="s">
        <v>436</v>
      </c>
      <c r="L10" s="65" t="str">
        <f t="shared" si="2"/>
        <v>X3: 7-VFD-01/1T0503-1(+)</v>
      </c>
      <c r="M10" s="175"/>
      <c r="N10" s="64" t="s">
        <v>11</v>
      </c>
      <c r="O10" s="159" t="s">
        <v>303</v>
      </c>
      <c r="P10" s="170"/>
    </row>
    <row r="11" spans="2:16" s="6" customFormat="1" ht="30" customHeight="1" x14ac:dyDescent="0.25">
      <c r="B11" s="88"/>
      <c r="C11" s="175"/>
      <c r="D11" s="175"/>
      <c r="E11" s="77">
        <v>5</v>
      </c>
      <c r="F11" s="77">
        <v>3</v>
      </c>
      <c r="G11" s="69" t="str">
        <f t="shared" si="0"/>
        <v>1T0503</v>
      </c>
      <c r="H11" s="69">
        <v>2</v>
      </c>
      <c r="I11" s="65" t="str">
        <f t="shared" si="1"/>
        <v>2-1T0503/VFD-01-X3: 8</v>
      </c>
      <c r="J11" s="65" t="s">
        <v>421</v>
      </c>
      <c r="K11" s="65" t="s">
        <v>437</v>
      </c>
      <c r="L11" s="65" t="str">
        <f t="shared" si="2"/>
        <v>X3: 8-VFD-01/1T0503-2(-)</v>
      </c>
      <c r="M11" s="175"/>
      <c r="N11" s="64" t="s">
        <v>12</v>
      </c>
      <c r="O11" s="159"/>
      <c r="P11" s="172"/>
    </row>
    <row r="12" spans="2:16" s="6" customFormat="1" ht="30" customHeight="1" x14ac:dyDescent="0.25">
      <c r="B12" s="88">
        <v>3</v>
      </c>
      <c r="C12" s="174" t="str">
        <f t="shared" ref="C12" si="3">M12&amp;" - PLC"</f>
        <v>VTP-02/VFD - PLC</v>
      </c>
      <c r="D12" s="174" t="s">
        <v>217</v>
      </c>
      <c r="E12" s="77">
        <v>5</v>
      </c>
      <c r="F12" s="77">
        <v>2</v>
      </c>
      <c r="G12" s="69" t="str">
        <f t="shared" si="0"/>
        <v>1T0502</v>
      </c>
      <c r="H12" s="65">
        <f>H9+2</f>
        <v>4</v>
      </c>
      <c r="I12" s="65" t="str">
        <f t="shared" si="1"/>
        <v>4-1T0502/VFD-02-X3: 1</v>
      </c>
      <c r="J12" s="65" t="s">
        <v>422</v>
      </c>
      <c r="K12" s="65" t="s">
        <v>434</v>
      </c>
      <c r="L12" s="65" t="str">
        <f t="shared" si="2"/>
        <v>X3: 1-VFD-02/1T0502-4(+)</v>
      </c>
      <c r="M12" s="174" t="s">
        <v>297</v>
      </c>
      <c r="N12" s="64" t="s">
        <v>11</v>
      </c>
      <c r="O12" s="159" t="s">
        <v>304</v>
      </c>
      <c r="P12" s="170"/>
    </row>
    <row r="13" spans="2:16" s="6" customFormat="1" ht="30" customHeight="1" x14ac:dyDescent="0.25">
      <c r="B13" s="88"/>
      <c r="C13" s="175"/>
      <c r="D13" s="175"/>
      <c r="E13" s="77">
        <v>5</v>
      </c>
      <c r="F13" s="77">
        <v>2</v>
      </c>
      <c r="G13" s="69" t="str">
        <f t="shared" si="0"/>
        <v>1T0502</v>
      </c>
      <c r="H13" s="65">
        <f>H12+1</f>
        <v>5</v>
      </c>
      <c r="I13" s="65" t="str">
        <f t="shared" si="1"/>
        <v>5-1T0502/VFD-02-X3: 2</v>
      </c>
      <c r="J13" s="65" t="s">
        <v>422</v>
      </c>
      <c r="K13" s="65" t="s">
        <v>435</v>
      </c>
      <c r="L13" s="65" t="str">
        <f t="shared" si="2"/>
        <v>X3: 2-VFD-02/1T0502-5(-)</v>
      </c>
      <c r="M13" s="175"/>
      <c r="N13" s="64" t="s">
        <v>12</v>
      </c>
      <c r="O13" s="159"/>
      <c r="P13" s="172"/>
    </row>
    <row r="14" spans="2:16" s="6" customFormat="1" ht="30" customHeight="1" x14ac:dyDescent="0.25">
      <c r="B14" s="88">
        <v>4</v>
      </c>
      <c r="C14" s="175"/>
      <c r="D14" s="175"/>
      <c r="E14" s="77">
        <v>5</v>
      </c>
      <c r="F14" s="77">
        <v>3</v>
      </c>
      <c r="G14" s="69" t="str">
        <f t="shared" si="0"/>
        <v>1T0503</v>
      </c>
      <c r="H14" s="65">
        <v>3</v>
      </c>
      <c r="I14" s="65" t="str">
        <f t="shared" si="1"/>
        <v>3-1T0503/VFD-02-X3: 7</v>
      </c>
      <c r="J14" s="65" t="s">
        <v>422</v>
      </c>
      <c r="K14" s="65" t="s">
        <v>436</v>
      </c>
      <c r="L14" s="65" t="str">
        <f t="shared" si="2"/>
        <v>X3: 7-VFD-02/1T0503-3(+)</v>
      </c>
      <c r="M14" s="175"/>
      <c r="N14" s="64" t="s">
        <v>11</v>
      </c>
      <c r="O14" s="159" t="s">
        <v>305</v>
      </c>
      <c r="P14" s="170"/>
    </row>
    <row r="15" spans="2:16" s="6" customFormat="1" ht="30" customHeight="1" x14ac:dyDescent="0.25">
      <c r="B15" s="88"/>
      <c r="C15" s="175"/>
      <c r="D15" s="175"/>
      <c r="E15" s="77">
        <v>5</v>
      </c>
      <c r="F15" s="77">
        <v>3</v>
      </c>
      <c r="G15" s="69" t="str">
        <f t="shared" si="0"/>
        <v>1T0503</v>
      </c>
      <c r="H15" s="65">
        <v>4</v>
      </c>
      <c r="I15" s="65" t="str">
        <f t="shared" si="1"/>
        <v>4-1T0503/VFD-02-X3: 8</v>
      </c>
      <c r="J15" s="65" t="s">
        <v>422</v>
      </c>
      <c r="K15" s="65" t="s">
        <v>437</v>
      </c>
      <c r="L15" s="65" t="str">
        <f t="shared" si="2"/>
        <v>X3: 8-VFD-02/1T0503-4(-)</v>
      </c>
      <c r="M15" s="175"/>
      <c r="N15" s="64" t="s">
        <v>12</v>
      </c>
      <c r="O15" s="159"/>
      <c r="P15" s="172"/>
    </row>
    <row r="16" spans="2:16" s="6" customFormat="1" ht="30" customHeight="1" x14ac:dyDescent="0.25">
      <c r="B16" s="88">
        <v>5</v>
      </c>
      <c r="C16" s="174" t="str">
        <f t="shared" ref="C16" si="4">M16&amp;" - PLC"</f>
        <v>VTP-07/VFD - PLC</v>
      </c>
      <c r="D16" s="174" t="s">
        <v>217</v>
      </c>
      <c r="E16" s="77">
        <v>5</v>
      </c>
      <c r="F16" s="77">
        <v>2</v>
      </c>
      <c r="G16" s="69" t="str">
        <f t="shared" si="0"/>
        <v>1T0502</v>
      </c>
      <c r="H16" s="65">
        <f>H13+2</f>
        <v>7</v>
      </c>
      <c r="I16" s="65" t="str">
        <f t="shared" si="1"/>
        <v>7-1T0502/VFD-03-X3: 1</v>
      </c>
      <c r="J16" s="65" t="s">
        <v>423</v>
      </c>
      <c r="K16" s="65" t="s">
        <v>434</v>
      </c>
      <c r="L16" s="65" t="str">
        <f t="shared" si="2"/>
        <v>X3: 1-VFD-03/1T0502-7(+)</v>
      </c>
      <c r="M16" s="174" t="s">
        <v>298</v>
      </c>
      <c r="N16" s="64" t="s">
        <v>11</v>
      </c>
      <c r="O16" s="159" t="s">
        <v>306</v>
      </c>
      <c r="P16" s="170"/>
    </row>
    <row r="17" spans="2:16" s="6" customFormat="1" ht="30" customHeight="1" x14ac:dyDescent="0.25">
      <c r="B17" s="88"/>
      <c r="C17" s="175"/>
      <c r="D17" s="175"/>
      <c r="E17" s="77">
        <v>5</v>
      </c>
      <c r="F17" s="77">
        <v>2</v>
      </c>
      <c r="G17" s="69" t="str">
        <f t="shared" si="0"/>
        <v>1T0502</v>
      </c>
      <c r="H17" s="65">
        <f>H16+1</f>
        <v>8</v>
      </c>
      <c r="I17" s="65" t="str">
        <f t="shared" si="1"/>
        <v>8-1T0502/VFD-03-X3: 2</v>
      </c>
      <c r="J17" s="65" t="s">
        <v>423</v>
      </c>
      <c r="K17" s="65" t="s">
        <v>435</v>
      </c>
      <c r="L17" s="65" t="str">
        <f t="shared" si="2"/>
        <v>X3: 2-VFD-03/1T0502-8(-)</v>
      </c>
      <c r="M17" s="175"/>
      <c r="N17" s="64" t="s">
        <v>12</v>
      </c>
      <c r="O17" s="159"/>
      <c r="P17" s="172"/>
    </row>
    <row r="18" spans="2:16" s="6" customFormat="1" ht="30" customHeight="1" x14ac:dyDescent="0.25">
      <c r="B18" s="88">
        <v>6</v>
      </c>
      <c r="C18" s="175"/>
      <c r="D18" s="175"/>
      <c r="E18" s="77">
        <v>5</v>
      </c>
      <c r="F18" s="77">
        <v>3</v>
      </c>
      <c r="G18" s="69" t="str">
        <f t="shared" si="0"/>
        <v>1T0503</v>
      </c>
      <c r="H18" s="65">
        <v>5</v>
      </c>
      <c r="I18" s="65" t="str">
        <f t="shared" si="1"/>
        <v>5-1T0503/VFD-03-X3: 7</v>
      </c>
      <c r="J18" s="65" t="s">
        <v>423</v>
      </c>
      <c r="K18" s="65" t="s">
        <v>436</v>
      </c>
      <c r="L18" s="65" t="str">
        <f t="shared" si="2"/>
        <v>X3: 7-VFD-03/1T0503-5(+)</v>
      </c>
      <c r="M18" s="175"/>
      <c r="N18" s="64" t="s">
        <v>11</v>
      </c>
      <c r="O18" s="159" t="s">
        <v>307</v>
      </c>
      <c r="P18" s="170"/>
    </row>
    <row r="19" spans="2:16" s="6" customFormat="1" ht="30" customHeight="1" x14ac:dyDescent="0.25">
      <c r="B19" s="88"/>
      <c r="C19" s="175"/>
      <c r="D19" s="175"/>
      <c r="E19" s="77">
        <v>5</v>
      </c>
      <c r="F19" s="77">
        <v>3</v>
      </c>
      <c r="G19" s="69" t="str">
        <f t="shared" si="0"/>
        <v>1T0503</v>
      </c>
      <c r="H19" s="65">
        <v>6</v>
      </c>
      <c r="I19" s="65" t="str">
        <f t="shared" si="1"/>
        <v>6-1T0503/VFD-03-X3: 8</v>
      </c>
      <c r="J19" s="65" t="s">
        <v>423</v>
      </c>
      <c r="K19" s="65" t="s">
        <v>437</v>
      </c>
      <c r="L19" s="65" t="str">
        <f t="shared" si="2"/>
        <v>X3: 8-VFD-03/1T0503-6(-)</v>
      </c>
      <c r="M19" s="175"/>
      <c r="N19" s="64" t="s">
        <v>12</v>
      </c>
      <c r="O19" s="159"/>
      <c r="P19" s="172"/>
    </row>
    <row r="20" spans="2:16" s="6" customFormat="1" ht="30" customHeight="1" x14ac:dyDescent="0.25">
      <c r="B20" s="88">
        <v>7</v>
      </c>
      <c r="C20" s="174" t="str">
        <f t="shared" ref="C20" si="5">M20&amp;" - PLC"</f>
        <v>VTP-08/VFD - PLC</v>
      </c>
      <c r="D20" s="174" t="s">
        <v>217</v>
      </c>
      <c r="E20" s="77">
        <v>5</v>
      </c>
      <c r="F20" s="77">
        <v>2</v>
      </c>
      <c r="G20" s="69" t="str">
        <f t="shared" si="0"/>
        <v>1T0502</v>
      </c>
      <c r="H20" s="65">
        <f>H17+2</f>
        <v>10</v>
      </c>
      <c r="I20" s="65" t="str">
        <f t="shared" si="1"/>
        <v>10-1T0502/VFD-04-X3: 1</v>
      </c>
      <c r="J20" s="65" t="s">
        <v>424</v>
      </c>
      <c r="K20" s="65" t="s">
        <v>434</v>
      </c>
      <c r="L20" s="65" t="str">
        <f t="shared" si="2"/>
        <v>X3: 1-VFD-04/1T0502-10(+)</v>
      </c>
      <c r="M20" s="174" t="s">
        <v>299</v>
      </c>
      <c r="N20" s="64" t="s">
        <v>11</v>
      </c>
      <c r="O20" s="159" t="s">
        <v>308</v>
      </c>
      <c r="P20" s="170"/>
    </row>
    <row r="21" spans="2:16" s="6" customFormat="1" ht="30" customHeight="1" x14ac:dyDescent="0.25">
      <c r="B21" s="88"/>
      <c r="C21" s="175"/>
      <c r="D21" s="175"/>
      <c r="E21" s="77">
        <v>5</v>
      </c>
      <c r="F21" s="77">
        <v>2</v>
      </c>
      <c r="G21" s="69" t="str">
        <f t="shared" si="0"/>
        <v>1T0502</v>
      </c>
      <c r="H21" s="65">
        <f>H20+1</f>
        <v>11</v>
      </c>
      <c r="I21" s="65" t="str">
        <f t="shared" si="1"/>
        <v>11-1T0502/VFD-04-X3: 2</v>
      </c>
      <c r="J21" s="65" t="s">
        <v>424</v>
      </c>
      <c r="K21" s="65" t="s">
        <v>435</v>
      </c>
      <c r="L21" s="65" t="str">
        <f t="shared" si="2"/>
        <v>X3: 2-VFD-04/1T0502-11(-)</v>
      </c>
      <c r="M21" s="175"/>
      <c r="N21" s="64" t="s">
        <v>12</v>
      </c>
      <c r="O21" s="159"/>
      <c r="P21" s="172"/>
    </row>
    <row r="22" spans="2:16" s="1" customFormat="1" ht="30" customHeight="1" x14ac:dyDescent="0.25">
      <c r="B22" s="88">
        <v>8</v>
      </c>
      <c r="C22" s="175"/>
      <c r="D22" s="175"/>
      <c r="E22" s="77">
        <v>5</v>
      </c>
      <c r="F22" s="77">
        <v>3</v>
      </c>
      <c r="G22" s="69" t="str">
        <f t="shared" si="0"/>
        <v>1T0503</v>
      </c>
      <c r="H22" s="65">
        <v>7</v>
      </c>
      <c r="I22" s="65" t="str">
        <f t="shared" si="1"/>
        <v>7-1T0503/VFD-04-X3: 7</v>
      </c>
      <c r="J22" s="65" t="s">
        <v>424</v>
      </c>
      <c r="K22" s="65" t="s">
        <v>436</v>
      </c>
      <c r="L22" s="65" t="str">
        <f t="shared" si="2"/>
        <v>X3: 7-VFD-04/1T0503-7(+)</v>
      </c>
      <c r="M22" s="175"/>
      <c r="N22" s="64" t="s">
        <v>11</v>
      </c>
      <c r="O22" s="159" t="s">
        <v>309</v>
      </c>
      <c r="P22" s="170"/>
    </row>
    <row r="23" spans="2:16" s="1" customFormat="1" ht="30" customHeight="1" x14ac:dyDescent="0.25">
      <c r="B23" s="88"/>
      <c r="C23" s="175"/>
      <c r="D23" s="175"/>
      <c r="E23" s="77">
        <v>5</v>
      </c>
      <c r="F23" s="77">
        <v>3</v>
      </c>
      <c r="G23" s="69" t="str">
        <f t="shared" si="0"/>
        <v>1T0503</v>
      </c>
      <c r="H23" s="65">
        <v>8</v>
      </c>
      <c r="I23" s="65" t="str">
        <f t="shared" si="1"/>
        <v>8-1T0503/VFD-04-X3: 8</v>
      </c>
      <c r="J23" s="65" t="s">
        <v>424</v>
      </c>
      <c r="K23" s="65" t="s">
        <v>437</v>
      </c>
      <c r="L23" s="65" t="str">
        <f t="shared" si="2"/>
        <v>X3: 8-VFD-04/1T0503-8(-)</v>
      </c>
      <c r="M23" s="175"/>
      <c r="N23" s="64" t="s">
        <v>12</v>
      </c>
      <c r="O23" s="159"/>
      <c r="P23" s="172"/>
    </row>
    <row r="24" spans="2:16" s="1" customFormat="1" ht="30" customHeight="1" x14ac:dyDescent="0.25">
      <c r="B24" s="88">
        <v>9</v>
      </c>
      <c r="C24" s="174" t="str">
        <f t="shared" ref="C24" si="6">M24&amp;" - PLC"</f>
        <v>VTP-09/VFD - PLC</v>
      </c>
      <c r="D24" s="174" t="s">
        <v>217</v>
      </c>
      <c r="E24" s="77">
        <v>5</v>
      </c>
      <c r="F24" s="77">
        <v>2</v>
      </c>
      <c r="G24" s="69" t="str">
        <f t="shared" si="0"/>
        <v>1T0502</v>
      </c>
      <c r="H24" s="65">
        <f>H21+2</f>
        <v>13</v>
      </c>
      <c r="I24" s="65" t="str">
        <f t="shared" si="1"/>
        <v>13-1T0502/VFD-05-X3: 1</v>
      </c>
      <c r="J24" s="65" t="s">
        <v>425</v>
      </c>
      <c r="K24" s="65" t="s">
        <v>434</v>
      </c>
      <c r="L24" s="65" t="str">
        <f t="shared" si="2"/>
        <v>X3: 1-VFD-05/1T0502-13(+)</v>
      </c>
      <c r="M24" s="174" t="s">
        <v>300</v>
      </c>
      <c r="N24" s="64" t="s">
        <v>11</v>
      </c>
      <c r="O24" s="159" t="s">
        <v>310</v>
      </c>
      <c r="P24" s="170"/>
    </row>
    <row r="25" spans="2:16" s="1" customFormat="1" ht="30" customHeight="1" x14ac:dyDescent="0.25">
      <c r="B25" s="88"/>
      <c r="C25" s="175"/>
      <c r="D25" s="175"/>
      <c r="E25" s="77">
        <v>5</v>
      </c>
      <c r="F25" s="77">
        <v>2</v>
      </c>
      <c r="G25" s="69" t="str">
        <f t="shared" si="0"/>
        <v>1T0502</v>
      </c>
      <c r="H25" s="65">
        <f>H24+1</f>
        <v>14</v>
      </c>
      <c r="I25" s="65" t="str">
        <f t="shared" si="1"/>
        <v>14-1T0502/VFD-05-X3: 2</v>
      </c>
      <c r="J25" s="65" t="s">
        <v>425</v>
      </c>
      <c r="K25" s="65" t="s">
        <v>435</v>
      </c>
      <c r="L25" s="65" t="str">
        <f t="shared" si="2"/>
        <v>X3: 2-VFD-05/1T0502-14(-)</v>
      </c>
      <c r="M25" s="175"/>
      <c r="N25" s="64" t="s">
        <v>12</v>
      </c>
      <c r="O25" s="159"/>
      <c r="P25" s="172"/>
    </row>
    <row r="26" spans="2:16" s="1" customFormat="1" ht="30" customHeight="1" x14ac:dyDescent="0.25">
      <c r="B26" s="88">
        <v>10</v>
      </c>
      <c r="C26" s="175"/>
      <c r="D26" s="175"/>
      <c r="E26" s="77">
        <v>5</v>
      </c>
      <c r="F26" s="77">
        <v>3</v>
      </c>
      <c r="G26" s="69" t="str">
        <f t="shared" si="0"/>
        <v>1T0503</v>
      </c>
      <c r="H26" s="65">
        <v>9</v>
      </c>
      <c r="I26" s="65" t="str">
        <f t="shared" si="1"/>
        <v>9-1T0503/VFD-05-X3: 7</v>
      </c>
      <c r="J26" s="65" t="s">
        <v>425</v>
      </c>
      <c r="K26" s="65" t="s">
        <v>436</v>
      </c>
      <c r="L26" s="65" t="str">
        <f t="shared" si="2"/>
        <v>X3: 7-VFD-05/1T0503-9(+)</v>
      </c>
      <c r="M26" s="175"/>
      <c r="N26" s="64" t="s">
        <v>11</v>
      </c>
      <c r="O26" s="159" t="s">
        <v>311</v>
      </c>
      <c r="P26" s="170"/>
    </row>
    <row r="27" spans="2:16" s="1" customFormat="1" ht="30" customHeight="1" x14ac:dyDescent="0.25">
      <c r="B27" s="88"/>
      <c r="C27" s="175"/>
      <c r="D27" s="175"/>
      <c r="E27" s="77">
        <v>5</v>
      </c>
      <c r="F27" s="77">
        <v>3</v>
      </c>
      <c r="G27" s="69" t="str">
        <f t="shared" si="0"/>
        <v>1T0503</v>
      </c>
      <c r="H27" s="65">
        <v>10</v>
      </c>
      <c r="I27" s="65" t="str">
        <f t="shared" si="1"/>
        <v>10-1T0503/VFD-05-X3: 8</v>
      </c>
      <c r="J27" s="65" t="s">
        <v>425</v>
      </c>
      <c r="K27" s="65" t="s">
        <v>437</v>
      </c>
      <c r="L27" s="65" t="str">
        <f t="shared" si="2"/>
        <v>X3: 8-VFD-05/1T0503-10(-)</v>
      </c>
      <c r="M27" s="175"/>
      <c r="N27" s="64" t="s">
        <v>12</v>
      </c>
      <c r="O27" s="159"/>
      <c r="P27" s="172"/>
    </row>
    <row r="28" spans="2:16" customFormat="1" ht="90" customHeight="1" x14ac:dyDescent="0.25">
      <c r="B28" s="90" t="s">
        <v>106</v>
      </c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</row>
  </sheetData>
  <mergeCells count="63">
    <mergeCell ref="B28:P28"/>
    <mergeCell ref="B14:B15"/>
    <mergeCell ref="O14:O15"/>
    <mergeCell ref="P8:P9"/>
    <mergeCell ref="P10:P11"/>
    <mergeCell ref="P12:P13"/>
    <mergeCell ref="P14:P15"/>
    <mergeCell ref="P16:P17"/>
    <mergeCell ref="P18:P19"/>
    <mergeCell ref="P20:P21"/>
    <mergeCell ref="P22:P23"/>
    <mergeCell ref="P24:P25"/>
    <mergeCell ref="P26:P27"/>
    <mergeCell ref="B26:B27"/>
    <mergeCell ref="O26:O27"/>
    <mergeCell ref="B16:B17"/>
    <mergeCell ref="O16:O17"/>
    <mergeCell ref="B20:B21"/>
    <mergeCell ref="O20:O21"/>
    <mergeCell ref="B12:B13"/>
    <mergeCell ref="O12:O13"/>
    <mergeCell ref="D16:D19"/>
    <mergeCell ref="M16:M19"/>
    <mergeCell ref="B24:B25"/>
    <mergeCell ref="O24:O25"/>
    <mergeCell ref="B22:B23"/>
    <mergeCell ref="O22:O23"/>
    <mergeCell ref="C12:C15"/>
    <mergeCell ref="B18:B19"/>
    <mergeCell ref="O18:O19"/>
    <mergeCell ref="C20:C23"/>
    <mergeCell ref="D20:D23"/>
    <mergeCell ref="M20:M23"/>
    <mergeCell ref="C24:C27"/>
    <mergeCell ref="D24:D27"/>
    <mergeCell ref="M24:M27"/>
    <mergeCell ref="D12:D15"/>
    <mergeCell ref="M12:M15"/>
    <mergeCell ref="C16:C19"/>
    <mergeCell ref="B8:B9"/>
    <mergeCell ref="O8:O9"/>
    <mergeCell ref="B10:B11"/>
    <mergeCell ref="O10:O11"/>
    <mergeCell ref="C8:C11"/>
    <mergeCell ref="D8:D11"/>
    <mergeCell ref="M8:M11"/>
    <mergeCell ref="B7:P7"/>
    <mergeCell ref="G4:M4"/>
    <mergeCell ref="N4:P4"/>
    <mergeCell ref="B5:B6"/>
    <mergeCell ref="C5:H5"/>
    <mergeCell ref="I5:I6"/>
    <mergeCell ref="J5:K5"/>
    <mergeCell ref="L5:L6"/>
    <mergeCell ref="M5:O5"/>
    <mergeCell ref="P5:P6"/>
    <mergeCell ref="B4:F4"/>
    <mergeCell ref="G2:M2"/>
    <mergeCell ref="N2:P2"/>
    <mergeCell ref="G3:M3"/>
    <mergeCell ref="N3:P3"/>
    <mergeCell ref="B2:F2"/>
    <mergeCell ref="C3:F3"/>
  </mergeCells>
  <phoneticPr fontId="6" type="noConversion"/>
  <printOptions horizontalCentered="1"/>
  <pageMargins left="0.25" right="0.25" top="0.75" bottom="0.75" header="0.3" footer="0.3"/>
  <pageSetup paperSize="8" scale="44" fitToHeight="0" orientation="landscape" r:id="rId1"/>
  <headerFooter>
    <oddFooter>&amp;L&amp;1#&amp;"Calibri,Regular"&amp;8&amp;K000000Sensitivity: LNT Construction Internal Use&amp;CPage &amp;P-1 of &amp;N-1&amp;R&amp;8Designed by: GP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816A4-C439-4D4C-A1DA-FCB78F969769}">
  <sheetPr>
    <pageSetUpPr fitToPage="1"/>
  </sheetPr>
  <dimension ref="B2:T98"/>
  <sheetViews>
    <sheetView view="pageBreakPreview" zoomScale="40" zoomScaleNormal="85" zoomScaleSheetLayoutView="40" workbookViewId="0"/>
  </sheetViews>
  <sheetFormatPr defaultRowHeight="13.2" x14ac:dyDescent="0.25"/>
  <cols>
    <col min="1" max="1" width="2.77734375" customWidth="1"/>
    <col min="2" max="2" width="14.88671875" bestFit="1" customWidth="1"/>
    <col min="3" max="3" width="26.5546875" bestFit="1" customWidth="1"/>
    <col min="4" max="4" width="40.77734375" customWidth="1"/>
    <col min="5" max="5" width="17.21875" customWidth="1"/>
    <col min="6" max="6" width="16.33203125" customWidth="1"/>
    <col min="7" max="7" width="17.5546875" customWidth="1"/>
    <col min="8" max="8" width="20.109375" customWidth="1"/>
    <col min="9" max="9" width="20.109375" bestFit="1" customWidth="1"/>
    <col min="10" max="10" width="49.33203125" customWidth="1"/>
    <col min="11" max="11" width="19.33203125" bestFit="1" customWidth="1"/>
    <col min="12" max="12" width="21" bestFit="1" customWidth="1"/>
    <col min="13" max="13" width="17.88671875" bestFit="1" customWidth="1"/>
    <col min="14" max="14" width="22.33203125" bestFit="1" customWidth="1"/>
    <col min="15" max="15" width="31.5546875" customWidth="1"/>
    <col min="16" max="16" width="53" customWidth="1"/>
    <col min="17" max="17" width="25.44140625" style="9" customWidth="1"/>
    <col min="18" max="18" width="17.88671875" bestFit="1" customWidth="1"/>
    <col min="19" max="19" width="51.21875" customWidth="1"/>
    <col min="20" max="20" width="60.109375" customWidth="1"/>
  </cols>
  <sheetData>
    <row r="2" spans="2:20" ht="90" customHeight="1" x14ac:dyDescent="0.25">
      <c r="B2" s="82" t="s">
        <v>46</v>
      </c>
      <c r="C2" s="82"/>
      <c r="D2" s="82"/>
      <c r="E2" s="82"/>
      <c r="F2" s="82"/>
      <c r="G2" s="82"/>
      <c r="H2" s="82"/>
      <c r="I2" s="82"/>
      <c r="J2" s="82" t="str">
        <f>Cover!B54&amp;" "&amp;Cover!B55</f>
        <v>PROJECT: DESIGN AND CONSTRUCTION FOR DHANKI TO TOKRALA (UPTO NATIONAL HIGHWAY CROSSING) BULK PIPELINE 45 KMS INCLUDING CONSTRUCTION OF RCC U/G SUMP, PUMP HOUSE, SITC OF PUMPING MACHINERY AND ANCILLARY WORKS AT DHANKI PUMPING STATION WITH 10 YEARS COMPREHENSIVE OPERATION &amp; MAINTENANCE UNDER DHANKI TO NAVDA PIPELINE PROJECT (PACKAGE NO-1 NC 42)</v>
      </c>
      <c r="K2" s="82"/>
      <c r="L2" s="82"/>
      <c r="M2" s="82"/>
      <c r="N2" s="82"/>
      <c r="O2" s="82"/>
      <c r="P2" s="82"/>
      <c r="Q2" s="82" t="s">
        <v>0</v>
      </c>
      <c r="R2" s="82"/>
      <c r="S2" s="82"/>
      <c r="T2" s="82"/>
    </row>
    <row r="3" spans="2:20" ht="60" customHeight="1" x14ac:dyDescent="0.25">
      <c r="B3" s="61" t="s">
        <v>93</v>
      </c>
      <c r="C3" s="82" t="str">
        <f>Cover!$B$51</f>
        <v>GUJARAT WATER INFRASTRUCTURE LIMITED (GWIL), GANDHINAGAR</v>
      </c>
      <c r="D3" s="82"/>
      <c r="E3" s="82"/>
      <c r="F3" s="82"/>
      <c r="G3" s="82"/>
      <c r="H3" s="82"/>
      <c r="I3" s="82"/>
      <c r="J3" s="82" t="s">
        <v>119</v>
      </c>
      <c r="K3" s="82"/>
      <c r="L3" s="82"/>
      <c r="M3" s="82"/>
      <c r="N3" s="82"/>
      <c r="O3" s="82"/>
      <c r="P3" s="82"/>
      <c r="Q3" s="82" t="s">
        <v>1</v>
      </c>
      <c r="R3" s="82"/>
      <c r="S3" s="82"/>
      <c r="T3" s="82"/>
    </row>
    <row r="4" spans="2:20" ht="60" customHeight="1" x14ac:dyDescent="0.25">
      <c r="B4" s="85" t="s">
        <v>47</v>
      </c>
      <c r="C4" s="85"/>
      <c r="D4" s="85"/>
      <c r="E4" s="85"/>
      <c r="F4" s="85"/>
      <c r="G4" s="85"/>
      <c r="H4" s="85"/>
      <c r="I4" s="85"/>
      <c r="J4" s="84" t="str">
        <f>"DOCUMENT NO: "&amp;_xlfn.CONCAT(Cover!D65:AA65)</f>
        <v>DOCUMENT NO: LE22M232-I-WS-RW-CI-5010</v>
      </c>
      <c r="K4" s="84"/>
      <c r="L4" s="84"/>
      <c r="M4" s="84"/>
      <c r="N4" s="84"/>
      <c r="O4" s="84"/>
      <c r="P4" s="84"/>
      <c r="Q4" s="62" t="s">
        <v>98</v>
      </c>
      <c r="R4" s="167">
        <f>Cover!B45</f>
        <v>46023</v>
      </c>
      <c r="S4" s="168"/>
      <c r="T4" s="169"/>
    </row>
    <row r="5" spans="2:20" ht="30" customHeight="1" x14ac:dyDescent="0.25">
      <c r="B5" s="83" t="s">
        <v>32</v>
      </c>
      <c r="C5" s="84" t="s">
        <v>50</v>
      </c>
      <c r="D5" s="84"/>
      <c r="E5" s="84"/>
      <c r="F5" s="84"/>
      <c r="G5" s="84"/>
      <c r="H5" s="84"/>
      <c r="I5" s="84"/>
      <c r="J5" s="82" t="s">
        <v>107</v>
      </c>
      <c r="K5" s="82" t="s">
        <v>108</v>
      </c>
      <c r="L5" s="84" t="s">
        <v>2</v>
      </c>
      <c r="M5" s="84"/>
      <c r="N5" s="82" t="s">
        <v>109</v>
      </c>
      <c r="O5" s="83" t="s">
        <v>3</v>
      </c>
      <c r="P5" s="82" t="s">
        <v>110</v>
      </c>
      <c r="Q5" s="84" t="s">
        <v>367</v>
      </c>
      <c r="R5" s="84"/>
      <c r="S5" s="84"/>
      <c r="T5" s="83" t="s">
        <v>51</v>
      </c>
    </row>
    <row r="6" spans="2:20" ht="60" customHeight="1" x14ac:dyDescent="0.25">
      <c r="B6" s="83"/>
      <c r="C6" s="63" t="s">
        <v>4</v>
      </c>
      <c r="D6" s="63" t="s">
        <v>3</v>
      </c>
      <c r="E6" s="63" t="s">
        <v>37</v>
      </c>
      <c r="F6" s="76" t="s">
        <v>321</v>
      </c>
      <c r="G6" s="63" t="s">
        <v>322</v>
      </c>
      <c r="H6" s="63" t="s">
        <v>35</v>
      </c>
      <c r="I6" s="63" t="s">
        <v>36</v>
      </c>
      <c r="J6" s="82"/>
      <c r="K6" s="82"/>
      <c r="L6" s="63" t="s">
        <v>5</v>
      </c>
      <c r="M6" s="63" t="s">
        <v>6</v>
      </c>
      <c r="N6" s="84"/>
      <c r="O6" s="83"/>
      <c r="P6" s="84"/>
      <c r="Q6" s="63" t="s">
        <v>7</v>
      </c>
      <c r="R6" s="63" t="s">
        <v>6</v>
      </c>
      <c r="S6" s="63" t="s">
        <v>8</v>
      </c>
      <c r="T6" s="83"/>
    </row>
    <row r="7" spans="2:20" ht="30" customHeight="1" x14ac:dyDescent="0.25">
      <c r="B7" s="86" t="s">
        <v>368</v>
      </c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</row>
    <row r="8" spans="2:20" ht="30" customHeight="1" x14ac:dyDescent="0.25">
      <c r="B8" s="161">
        <v>1</v>
      </c>
      <c r="C8" s="161" t="s">
        <v>312</v>
      </c>
      <c r="D8" s="89" t="s">
        <v>329</v>
      </c>
      <c r="E8" s="67" t="s">
        <v>13</v>
      </c>
      <c r="F8" s="77">
        <v>1</v>
      </c>
      <c r="G8" s="77">
        <v>7</v>
      </c>
      <c r="H8" s="69" t="str">
        <f>"1T"&amp;TEXT(F8,"00")&amp;TEXT(G8,"00")</f>
        <v>1T0107</v>
      </c>
      <c r="I8" s="69">
        <v>7</v>
      </c>
      <c r="J8" s="65" t="str">
        <f>CONCATENATE(TEXT(F8,"00"),"-",TEXT(G8,"00"),"/",$Q$8,"-",R8)</f>
        <v>01-07/TS-01-NO</v>
      </c>
      <c r="K8" s="65" t="s">
        <v>33</v>
      </c>
      <c r="L8" s="65" t="s">
        <v>33</v>
      </c>
      <c r="M8" s="65" t="s">
        <v>33</v>
      </c>
      <c r="N8" s="65" t="s">
        <v>33</v>
      </c>
      <c r="O8" s="89" t="str">
        <f t="shared" ref="O8" si="0">_xlfn.TEXTBEFORE(D8,"(")</f>
        <v xml:space="preserve">10C x 1.0 SQ. MM
</v>
      </c>
      <c r="P8" s="65" t="str">
        <f>CONCATENATE($Q$8,R8,"/",TEXT(F8,"00"),"-",TEXT(G8,"00"))</f>
        <v>TS-01NO/01-07</v>
      </c>
      <c r="Q8" s="161" t="str">
        <f>C8</f>
        <v>TS-01</v>
      </c>
      <c r="R8" s="64" t="s">
        <v>39</v>
      </c>
      <c r="S8" s="161" t="s">
        <v>347</v>
      </c>
      <c r="T8" s="67" t="s">
        <v>343</v>
      </c>
    </row>
    <row r="9" spans="2:20" ht="30" customHeight="1" x14ac:dyDescent="0.25">
      <c r="B9" s="162"/>
      <c r="C9" s="162"/>
      <c r="D9" s="89"/>
      <c r="E9" s="67" t="s">
        <v>14</v>
      </c>
      <c r="F9" s="77">
        <v>1</v>
      </c>
      <c r="G9" s="77">
        <v>7</v>
      </c>
      <c r="H9" s="69" t="str">
        <f t="shared" ref="H9:H12" si="1">"1T"&amp;TEXT(F9,"00")&amp;TEXT(G9,"00")</f>
        <v>1T0107</v>
      </c>
      <c r="I9" s="69">
        <f>I8+2</f>
        <v>9</v>
      </c>
      <c r="J9" s="65" t="str">
        <f t="shared" ref="J9:J12" si="2">CONCATENATE(TEXT(F9,"00"),"-",TEXT(G9,"00"),"/",$Q$8,"-",R9)</f>
        <v>01-07/TS-01-NO</v>
      </c>
      <c r="K9" s="65" t="s">
        <v>33</v>
      </c>
      <c r="L9" s="65" t="s">
        <v>33</v>
      </c>
      <c r="M9" s="65" t="s">
        <v>33</v>
      </c>
      <c r="N9" s="65" t="s">
        <v>33</v>
      </c>
      <c r="O9" s="89"/>
      <c r="P9" s="65" t="str">
        <f t="shared" ref="P9:P12" si="3">CONCATENATE($Q$8,R9,"/",TEXT(F9,"00"),"-",TEXT(G9,"00"))</f>
        <v>TS-01NO/01-07</v>
      </c>
      <c r="Q9" s="162"/>
      <c r="R9" s="64" t="s">
        <v>39</v>
      </c>
      <c r="S9" s="162"/>
      <c r="T9" s="67" t="s">
        <v>344</v>
      </c>
    </row>
    <row r="10" spans="2:20" ht="30" customHeight="1" x14ac:dyDescent="0.25">
      <c r="B10" s="162"/>
      <c r="C10" s="162"/>
      <c r="D10" s="89"/>
      <c r="E10" s="67" t="s">
        <v>15</v>
      </c>
      <c r="F10" s="77">
        <v>1</v>
      </c>
      <c r="G10" s="77">
        <v>7</v>
      </c>
      <c r="H10" s="69" t="str">
        <f t="shared" si="1"/>
        <v>1T0107</v>
      </c>
      <c r="I10" s="69">
        <f>I9+2</f>
        <v>11</v>
      </c>
      <c r="J10" s="65" t="str">
        <f t="shared" si="2"/>
        <v>01-07/TS-01-NO</v>
      </c>
      <c r="K10" s="65" t="s">
        <v>33</v>
      </c>
      <c r="L10" s="65" t="s">
        <v>33</v>
      </c>
      <c r="M10" s="65" t="s">
        <v>33</v>
      </c>
      <c r="N10" s="65" t="s">
        <v>33</v>
      </c>
      <c r="O10" s="89"/>
      <c r="P10" s="65" t="str">
        <f t="shared" si="3"/>
        <v>TS-01NO/01-07</v>
      </c>
      <c r="Q10" s="162"/>
      <c r="R10" s="64" t="s">
        <v>39</v>
      </c>
      <c r="S10" s="162"/>
      <c r="T10" s="67" t="s">
        <v>345</v>
      </c>
    </row>
    <row r="11" spans="2:20" ht="30" customHeight="1" x14ac:dyDescent="0.25">
      <c r="B11" s="162"/>
      <c r="C11" s="162"/>
      <c r="D11" s="89"/>
      <c r="E11" s="67" t="s">
        <v>16</v>
      </c>
      <c r="F11" s="77">
        <v>1</v>
      </c>
      <c r="G11" s="77">
        <v>7</v>
      </c>
      <c r="H11" s="69" t="str">
        <f t="shared" si="1"/>
        <v>1T0107</v>
      </c>
      <c r="I11" s="69">
        <f>I10+2</f>
        <v>13</v>
      </c>
      <c r="J11" s="65" t="str">
        <f t="shared" si="2"/>
        <v>01-07/TS-01-NO</v>
      </c>
      <c r="K11" s="65" t="s">
        <v>33</v>
      </c>
      <c r="L11" s="65" t="s">
        <v>33</v>
      </c>
      <c r="M11" s="65" t="s">
        <v>33</v>
      </c>
      <c r="N11" s="65" t="s">
        <v>33</v>
      </c>
      <c r="O11" s="89"/>
      <c r="P11" s="65" t="str">
        <f t="shared" si="3"/>
        <v>TS-01NO/01-07</v>
      </c>
      <c r="Q11" s="162"/>
      <c r="R11" s="64" t="s">
        <v>39</v>
      </c>
      <c r="S11" s="162"/>
      <c r="T11" s="67" t="s">
        <v>346</v>
      </c>
    </row>
    <row r="12" spans="2:20" ht="30" customHeight="1" x14ac:dyDescent="0.25">
      <c r="B12" s="162"/>
      <c r="C12" s="162"/>
      <c r="D12" s="89"/>
      <c r="E12" s="67" t="s">
        <v>17</v>
      </c>
      <c r="F12" s="77">
        <v>1</v>
      </c>
      <c r="G12" s="77">
        <v>7</v>
      </c>
      <c r="H12" s="69" t="str">
        <f t="shared" si="1"/>
        <v>1T0107</v>
      </c>
      <c r="I12" s="69">
        <f>I11+1</f>
        <v>14</v>
      </c>
      <c r="J12" s="65" t="str">
        <f t="shared" si="2"/>
        <v>01-07/TS-01-C</v>
      </c>
      <c r="K12" s="65" t="s">
        <v>33</v>
      </c>
      <c r="L12" s="65" t="s">
        <v>33</v>
      </c>
      <c r="M12" s="65" t="s">
        <v>33</v>
      </c>
      <c r="N12" s="65" t="s">
        <v>33</v>
      </c>
      <c r="O12" s="89"/>
      <c r="P12" s="65" t="str">
        <f t="shared" si="3"/>
        <v>TS-01C/01-07</v>
      </c>
      <c r="Q12" s="162"/>
      <c r="R12" s="64" t="s">
        <v>40</v>
      </c>
      <c r="S12" s="162"/>
      <c r="T12" s="89" t="str">
        <f>UPPER("IN PLC SIDE, "&amp;H8&amp;": "&amp;I8+1&amp;", "&amp;H9&amp;": "&amp;I9+1&amp;", "&amp;H10&amp;": "&amp;I10+1&amp;" &amp; "&amp;H11&amp;": "&amp;I11+1&amp;" ARE ALREADY LOOPED TOGETHER")</f>
        <v>IN PLC SIDE, 1T0107: 8, 1T0107: 10, 1T0107: 12 &amp; 1T0107: 14 ARE ALREADY LOOPED TOGETHER</v>
      </c>
    </row>
    <row r="13" spans="2:20" ht="30" customHeight="1" x14ac:dyDescent="0.25">
      <c r="B13" s="162"/>
      <c r="C13" s="162"/>
      <c r="D13" s="89"/>
      <c r="E13" s="67" t="s">
        <v>18</v>
      </c>
      <c r="F13" s="77" t="s">
        <v>45</v>
      </c>
      <c r="G13" s="77" t="s">
        <v>45</v>
      </c>
      <c r="H13" s="69" t="s">
        <v>45</v>
      </c>
      <c r="I13" s="69" t="s">
        <v>45</v>
      </c>
      <c r="J13" s="65" t="s">
        <v>45</v>
      </c>
      <c r="K13" s="65" t="s">
        <v>45</v>
      </c>
      <c r="L13" s="65" t="s">
        <v>45</v>
      </c>
      <c r="M13" s="65" t="s">
        <v>45</v>
      </c>
      <c r="N13" s="65" t="s">
        <v>45</v>
      </c>
      <c r="O13" s="89"/>
      <c r="P13" s="65" t="s">
        <v>45</v>
      </c>
      <c r="Q13" s="162"/>
      <c r="R13" s="64" t="s">
        <v>45</v>
      </c>
      <c r="S13" s="162"/>
      <c r="T13" s="89"/>
    </row>
    <row r="14" spans="2:20" ht="30" customHeight="1" x14ac:dyDescent="0.25">
      <c r="B14" s="162"/>
      <c r="C14" s="162"/>
      <c r="D14" s="89"/>
      <c r="E14" s="67" t="s">
        <v>19</v>
      </c>
      <c r="F14" s="77" t="s">
        <v>45</v>
      </c>
      <c r="G14" s="77" t="s">
        <v>45</v>
      </c>
      <c r="H14" s="69" t="s">
        <v>45</v>
      </c>
      <c r="I14" s="69" t="s">
        <v>45</v>
      </c>
      <c r="J14" s="65" t="s">
        <v>45</v>
      </c>
      <c r="K14" s="65" t="s">
        <v>45</v>
      </c>
      <c r="L14" s="65" t="s">
        <v>45</v>
      </c>
      <c r="M14" s="65" t="s">
        <v>45</v>
      </c>
      <c r="N14" s="65" t="s">
        <v>45</v>
      </c>
      <c r="O14" s="89"/>
      <c r="P14" s="65" t="s">
        <v>45</v>
      </c>
      <c r="Q14" s="162"/>
      <c r="R14" s="64" t="s">
        <v>45</v>
      </c>
      <c r="S14" s="162"/>
      <c r="T14" s="89"/>
    </row>
    <row r="15" spans="2:20" ht="30" customHeight="1" x14ac:dyDescent="0.25">
      <c r="B15" s="162"/>
      <c r="C15" s="162"/>
      <c r="D15" s="89"/>
      <c r="E15" s="67" t="s">
        <v>20</v>
      </c>
      <c r="F15" s="77" t="s">
        <v>45</v>
      </c>
      <c r="G15" s="77" t="s">
        <v>45</v>
      </c>
      <c r="H15" s="69" t="s">
        <v>45</v>
      </c>
      <c r="I15" s="69" t="s">
        <v>45</v>
      </c>
      <c r="J15" s="65" t="s">
        <v>45</v>
      </c>
      <c r="K15" s="65" t="s">
        <v>45</v>
      </c>
      <c r="L15" s="65" t="s">
        <v>45</v>
      </c>
      <c r="M15" s="65" t="s">
        <v>45</v>
      </c>
      <c r="N15" s="65" t="s">
        <v>45</v>
      </c>
      <c r="O15" s="89"/>
      <c r="P15" s="65" t="s">
        <v>45</v>
      </c>
      <c r="Q15" s="162"/>
      <c r="R15" s="64" t="s">
        <v>45</v>
      </c>
      <c r="S15" s="162"/>
      <c r="T15" s="89"/>
    </row>
    <row r="16" spans="2:20" ht="30" customHeight="1" x14ac:dyDescent="0.25">
      <c r="B16" s="162"/>
      <c r="C16" s="162"/>
      <c r="D16" s="89"/>
      <c r="E16" s="67" t="s">
        <v>21</v>
      </c>
      <c r="F16" s="77" t="s">
        <v>45</v>
      </c>
      <c r="G16" s="77" t="s">
        <v>45</v>
      </c>
      <c r="H16" s="69" t="s">
        <v>45</v>
      </c>
      <c r="I16" s="69" t="s">
        <v>45</v>
      </c>
      <c r="J16" s="65" t="s">
        <v>45</v>
      </c>
      <c r="K16" s="65" t="s">
        <v>45</v>
      </c>
      <c r="L16" s="65" t="s">
        <v>45</v>
      </c>
      <c r="M16" s="65" t="s">
        <v>45</v>
      </c>
      <c r="N16" s="65" t="s">
        <v>45</v>
      </c>
      <c r="O16" s="89"/>
      <c r="P16" s="65" t="s">
        <v>45</v>
      </c>
      <c r="Q16" s="162"/>
      <c r="R16" s="64" t="s">
        <v>45</v>
      </c>
      <c r="S16" s="162"/>
      <c r="T16" s="89"/>
    </row>
    <row r="17" spans="2:20" ht="30" customHeight="1" x14ac:dyDescent="0.25">
      <c r="B17" s="162"/>
      <c r="C17" s="162"/>
      <c r="D17" s="89"/>
      <c r="E17" s="67" t="s">
        <v>30</v>
      </c>
      <c r="F17" s="77" t="s">
        <v>45</v>
      </c>
      <c r="G17" s="77" t="s">
        <v>45</v>
      </c>
      <c r="H17" s="69" t="s">
        <v>45</v>
      </c>
      <c r="I17" s="69" t="s">
        <v>45</v>
      </c>
      <c r="J17" s="65" t="s">
        <v>45</v>
      </c>
      <c r="K17" s="65" t="s">
        <v>45</v>
      </c>
      <c r="L17" s="65" t="s">
        <v>45</v>
      </c>
      <c r="M17" s="65" t="s">
        <v>45</v>
      </c>
      <c r="N17" s="65" t="s">
        <v>45</v>
      </c>
      <c r="O17" s="89"/>
      <c r="P17" s="65" t="s">
        <v>45</v>
      </c>
      <c r="Q17" s="162"/>
      <c r="R17" s="64" t="s">
        <v>45</v>
      </c>
      <c r="S17" s="162"/>
      <c r="T17" s="89"/>
    </row>
    <row r="18" spans="2:20" ht="30" customHeight="1" x14ac:dyDescent="0.25">
      <c r="B18" s="161">
        <f>B8+1</f>
        <v>2</v>
      </c>
      <c r="C18" s="161" t="s">
        <v>313</v>
      </c>
      <c r="D18" s="89" t="s">
        <v>329</v>
      </c>
      <c r="E18" s="67" t="s">
        <v>13</v>
      </c>
      <c r="F18" s="77">
        <v>1</v>
      </c>
      <c r="G18" s="77">
        <v>7</v>
      </c>
      <c r="H18" s="69" t="str">
        <f t="shared" ref="H18:H22" si="4">"1T"&amp;TEXT(F18,"00")&amp;TEXT(G18,"00")</f>
        <v>1T0107</v>
      </c>
      <c r="I18" s="69">
        <v>15</v>
      </c>
      <c r="J18" s="65" t="str">
        <f>CONCATENATE(TEXT(F18,"00"),"-",TEXT(G18,"00"),"/",$Q$18,"-",R18)</f>
        <v>01-07/TS-02-NO</v>
      </c>
      <c r="K18" s="65" t="s">
        <v>33</v>
      </c>
      <c r="L18" s="65" t="s">
        <v>33</v>
      </c>
      <c r="M18" s="65" t="s">
        <v>33</v>
      </c>
      <c r="N18" s="65" t="s">
        <v>33</v>
      </c>
      <c r="O18" s="89" t="str">
        <f t="shared" ref="O18" si="5">_xlfn.TEXTBEFORE(D18,"(")</f>
        <v xml:space="preserve">10C x 1.0 SQ. MM
</v>
      </c>
      <c r="P18" s="65" t="str">
        <f t="shared" ref="P18:P22" si="6">CONCATENATE($Q$18,R18,"/",TEXT(F18,"00"),"-",TEXT(G18,"00"))</f>
        <v>TS-02NO/01-07</v>
      </c>
      <c r="Q18" s="161" t="str">
        <f t="shared" ref="Q18" si="7">C18</f>
        <v>TS-02</v>
      </c>
      <c r="R18" s="64" t="s">
        <v>39</v>
      </c>
      <c r="S18" s="161" t="s">
        <v>348</v>
      </c>
      <c r="T18" s="67" t="s">
        <v>343</v>
      </c>
    </row>
    <row r="19" spans="2:20" ht="30" customHeight="1" x14ac:dyDescent="0.25">
      <c r="B19" s="162"/>
      <c r="C19" s="162"/>
      <c r="D19" s="89"/>
      <c r="E19" s="67" t="s">
        <v>14</v>
      </c>
      <c r="F19" s="77">
        <v>1</v>
      </c>
      <c r="G19" s="77">
        <v>7</v>
      </c>
      <c r="H19" s="69" t="str">
        <f t="shared" si="4"/>
        <v>1T0107</v>
      </c>
      <c r="I19" s="69">
        <f>I18+2</f>
        <v>17</v>
      </c>
      <c r="J19" s="65" t="str">
        <f t="shared" ref="J19:J22" si="8">CONCATENATE(TEXT(F19,"00"),"-",TEXT(G19,"00"),"/",$Q$18,"-",R19)</f>
        <v>01-07/TS-02-NO</v>
      </c>
      <c r="K19" s="65" t="s">
        <v>33</v>
      </c>
      <c r="L19" s="65" t="s">
        <v>33</v>
      </c>
      <c r="M19" s="65" t="s">
        <v>33</v>
      </c>
      <c r="N19" s="65" t="s">
        <v>33</v>
      </c>
      <c r="O19" s="89"/>
      <c r="P19" s="65" t="str">
        <f t="shared" si="6"/>
        <v>TS-02NO/01-07</v>
      </c>
      <c r="Q19" s="162"/>
      <c r="R19" s="64" t="s">
        <v>39</v>
      </c>
      <c r="S19" s="162"/>
      <c r="T19" s="67" t="s">
        <v>344</v>
      </c>
    </row>
    <row r="20" spans="2:20" ht="30" customHeight="1" x14ac:dyDescent="0.25">
      <c r="B20" s="162"/>
      <c r="C20" s="162"/>
      <c r="D20" s="89"/>
      <c r="E20" s="67" t="s">
        <v>15</v>
      </c>
      <c r="F20" s="77">
        <v>1</v>
      </c>
      <c r="G20" s="77">
        <v>7</v>
      </c>
      <c r="H20" s="69" t="str">
        <f t="shared" si="4"/>
        <v>1T0107</v>
      </c>
      <c r="I20" s="69">
        <f>I19+2</f>
        <v>19</v>
      </c>
      <c r="J20" s="65" t="str">
        <f t="shared" si="8"/>
        <v>01-07/TS-02-NO</v>
      </c>
      <c r="K20" s="65" t="s">
        <v>33</v>
      </c>
      <c r="L20" s="65" t="s">
        <v>33</v>
      </c>
      <c r="M20" s="65" t="s">
        <v>33</v>
      </c>
      <c r="N20" s="65" t="s">
        <v>33</v>
      </c>
      <c r="O20" s="89"/>
      <c r="P20" s="65" t="str">
        <f t="shared" si="6"/>
        <v>TS-02NO/01-07</v>
      </c>
      <c r="Q20" s="162"/>
      <c r="R20" s="64" t="s">
        <v>39</v>
      </c>
      <c r="S20" s="162"/>
      <c r="T20" s="67" t="s">
        <v>345</v>
      </c>
    </row>
    <row r="21" spans="2:20" ht="30" customHeight="1" x14ac:dyDescent="0.25">
      <c r="B21" s="162"/>
      <c r="C21" s="162"/>
      <c r="D21" s="89"/>
      <c r="E21" s="67" t="s">
        <v>16</v>
      </c>
      <c r="F21" s="77">
        <v>1</v>
      </c>
      <c r="G21" s="77">
        <v>7</v>
      </c>
      <c r="H21" s="69" t="str">
        <f t="shared" si="4"/>
        <v>1T0107</v>
      </c>
      <c r="I21" s="69">
        <f>I20+2</f>
        <v>21</v>
      </c>
      <c r="J21" s="65" t="str">
        <f t="shared" si="8"/>
        <v>01-07/TS-02-NO</v>
      </c>
      <c r="K21" s="65" t="s">
        <v>33</v>
      </c>
      <c r="L21" s="65" t="s">
        <v>33</v>
      </c>
      <c r="M21" s="65" t="s">
        <v>33</v>
      </c>
      <c r="N21" s="65" t="s">
        <v>33</v>
      </c>
      <c r="O21" s="89"/>
      <c r="P21" s="65" t="str">
        <f t="shared" si="6"/>
        <v>TS-02NO/01-07</v>
      </c>
      <c r="Q21" s="162"/>
      <c r="R21" s="64" t="s">
        <v>39</v>
      </c>
      <c r="S21" s="162"/>
      <c r="T21" s="67" t="s">
        <v>346</v>
      </c>
    </row>
    <row r="22" spans="2:20" ht="30" customHeight="1" x14ac:dyDescent="0.25">
      <c r="B22" s="162"/>
      <c r="C22" s="162"/>
      <c r="D22" s="89"/>
      <c r="E22" s="67" t="s">
        <v>17</v>
      </c>
      <c r="F22" s="77">
        <v>1</v>
      </c>
      <c r="G22" s="77">
        <v>7</v>
      </c>
      <c r="H22" s="69" t="str">
        <f t="shared" si="4"/>
        <v>1T0107</v>
      </c>
      <c r="I22" s="69">
        <f>I21+1</f>
        <v>22</v>
      </c>
      <c r="J22" s="65" t="str">
        <f t="shared" si="8"/>
        <v>01-07/TS-02-C</v>
      </c>
      <c r="K22" s="65" t="s">
        <v>33</v>
      </c>
      <c r="L22" s="65" t="s">
        <v>33</v>
      </c>
      <c r="M22" s="65" t="s">
        <v>33</v>
      </c>
      <c r="N22" s="65" t="s">
        <v>33</v>
      </c>
      <c r="O22" s="89"/>
      <c r="P22" s="65" t="str">
        <f t="shared" si="6"/>
        <v>TS-02C/01-07</v>
      </c>
      <c r="Q22" s="162"/>
      <c r="R22" s="64" t="s">
        <v>40</v>
      </c>
      <c r="S22" s="162"/>
      <c r="T22" s="89" t="str">
        <f>UPPER("IN PLC SIDE, "&amp;H18&amp;": "&amp;I18+1&amp;", "&amp;H19&amp;": "&amp;I19+1&amp;", "&amp;H20&amp;": "&amp;I20+1&amp;" &amp; "&amp;H21&amp;": "&amp;I21+1&amp;" ARE ALREADY LOOPED TOGETHER")</f>
        <v>IN PLC SIDE, 1T0107: 16, 1T0107: 18, 1T0107: 20 &amp; 1T0107: 22 ARE ALREADY LOOPED TOGETHER</v>
      </c>
    </row>
    <row r="23" spans="2:20" ht="30" customHeight="1" x14ac:dyDescent="0.25">
      <c r="B23" s="162"/>
      <c r="C23" s="162"/>
      <c r="D23" s="89"/>
      <c r="E23" s="67" t="s">
        <v>18</v>
      </c>
      <c r="F23" s="77" t="s">
        <v>45</v>
      </c>
      <c r="G23" s="77" t="s">
        <v>45</v>
      </c>
      <c r="H23" s="69" t="s">
        <v>45</v>
      </c>
      <c r="I23" s="69" t="s">
        <v>45</v>
      </c>
      <c r="J23" s="65" t="s">
        <v>45</v>
      </c>
      <c r="K23" s="65" t="s">
        <v>45</v>
      </c>
      <c r="L23" s="65" t="s">
        <v>45</v>
      </c>
      <c r="M23" s="65" t="s">
        <v>45</v>
      </c>
      <c r="N23" s="65" t="s">
        <v>45</v>
      </c>
      <c r="O23" s="89"/>
      <c r="P23" s="65" t="s">
        <v>45</v>
      </c>
      <c r="Q23" s="162"/>
      <c r="R23" s="64" t="s">
        <v>45</v>
      </c>
      <c r="S23" s="162"/>
      <c r="T23" s="89"/>
    </row>
    <row r="24" spans="2:20" ht="30" customHeight="1" x14ac:dyDescent="0.25">
      <c r="B24" s="162"/>
      <c r="C24" s="162"/>
      <c r="D24" s="89"/>
      <c r="E24" s="67" t="s">
        <v>19</v>
      </c>
      <c r="F24" s="77" t="s">
        <v>45</v>
      </c>
      <c r="G24" s="77" t="s">
        <v>45</v>
      </c>
      <c r="H24" s="69" t="s">
        <v>45</v>
      </c>
      <c r="I24" s="69" t="s">
        <v>45</v>
      </c>
      <c r="J24" s="65" t="s">
        <v>45</v>
      </c>
      <c r="K24" s="65" t="s">
        <v>45</v>
      </c>
      <c r="L24" s="65" t="s">
        <v>45</v>
      </c>
      <c r="M24" s="65" t="s">
        <v>45</v>
      </c>
      <c r="N24" s="65" t="s">
        <v>45</v>
      </c>
      <c r="O24" s="89"/>
      <c r="P24" s="65" t="s">
        <v>45</v>
      </c>
      <c r="Q24" s="162"/>
      <c r="R24" s="64" t="s">
        <v>45</v>
      </c>
      <c r="S24" s="162"/>
      <c r="T24" s="89"/>
    </row>
    <row r="25" spans="2:20" ht="30" customHeight="1" x14ac:dyDescent="0.25">
      <c r="B25" s="162"/>
      <c r="C25" s="162"/>
      <c r="D25" s="89"/>
      <c r="E25" s="67" t="s">
        <v>20</v>
      </c>
      <c r="F25" s="77" t="s">
        <v>45</v>
      </c>
      <c r="G25" s="77" t="s">
        <v>45</v>
      </c>
      <c r="H25" s="69" t="s">
        <v>45</v>
      </c>
      <c r="I25" s="69" t="s">
        <v>45</v>
      </c>
      <c r="J25" s="65" t="s">
        <v>45</v>
      </c>
      <c r="K25" s="65" t="s">
        <v>45</v>
      </c>
      <c r="L25" s="65" t="s">
        <v>45</v>
      </c>
      <c r="M25" s="65" t="s">
        <v>45</v>
      </c>
      <c r="N25" s="65" t="s">
        <v>45</v>
      </c>
      <c r="O25" s="89"/>
      <c r="P25" s="65" t="s">
        <v>45</v>
      </c>
      <c r="Q25" s="162"/>
      <c r="R25" s="64" t="s">
        <v>45</v>
      </c>
      <c r="S25" s="162"/>
      <c r="T25" s="89"/>
    </row>
    <row r="26" spans="2:20" ht="30" customHeight="1" x14ac:dyDescent="0.25">
      <c r="B26" s="162"/>
      <c r="C26" s="162"/>
      <c r="D26" s="89"/>
      <c r="E26" s="67" t="s">
        <v>21</v>
      </c>
      <c r="F26" s="77" t="s">
        <v>45</v>
      </c>
      <c r="G26" s="77" t="s">
        <v>45</v>
      </c>
      <c r="H26" s="69" t="s">
        <v>45</v>
      </c>
      <c r="I26" s="69" t="s">
        <v>45</v>
      </c>
      <c r="J26" s="65" t="s">
        <v>45</v>
      </c>
      <c r="K26" s="65" t="s">
        <v>45</v>
      </c>
      <c r="L26" s="65" t="s">
        <v>45</v>
      </c>
      <c r="M26" s="65" t="s">
        <v>45</v>
      </c>
      <c r="N26" s="65" t="s">
        <v>45</v>
      </c>
      <c r="O26" s="89"/>
      <c r="P26" s="65" t="s">
        <v>45</v>
      </c>
      <c r="Q26" s="162"/>
      <c r="R26" s="64" t="s">
        <v>45</v>
      </c>
      <c r="S26" s="162"/>
      <c r="T26" s="89"/>
    </row>
    <row r="27" spans="2:20" ht="30" customHeight="1" x14ac:dyDescent="0.25">
      <c r="B27" s="162"/>
      <c r="C27" s="162"/>
      <c r="D27" s="89"/>
      <c r="E27" s="67" t="s">
        <v>30</v>
      </c>
      <c r="F27" s="77" t="s">
        <v>45</v>
      </c>
      <c r="G27" s="77" t="s">
        <v>45</v>
      </c>
      <c r="H27" s="69" t="s">
        <v>45</v>
      </c>
      <c r="I27" s="69" t="s">
        <v>45</v>
      </c>
      <c r="J27" s="65" t="s">
        <v>45</v>
      </c>
      <c r="K27" s="65" t="s">
        <v>45</v>
      </c>
      <c r="L27" s="65" t="s">
        <v>45</v>
      </c>
      <c r="M27" s="65" t="s">
        <v>45</v>
      </c>
      <c r="N27" s="65" t="s">
        <v>45</v>
      </c>
      <c r="O27" s="89"/>
      <c r="P27" s="65" t="s">
        <v>45</v>
      </c>
      <c r="Q27" s="162"/>
      <c r="R27" s="64" t="s">
        <v>45</v>
      </c>
      <c r="S27" s="162"/>
      <c r="T27" s="89"/>
    </row>
    <row r="28" spans="2:20" ht="30" customHeight="1" x14ac:dyDescent="0.25">
      <c r="B28" s="161">
        <f>B18+1</f>
        <v>3</v>
      </c>
      <c r="C28" s="161" t="s">
        <v>314</v>
      </c>
      <c r="D28" s="89" t="s">
        <v>329</v>
      </c>
      <c r="E28" s="67" t="s">
        <v>13</v>
      </c>
      <c r="F28" s="77">
        <v>1</v>
      </c>
      <c r="G28" s="77">
        <v>7</v>
      </c>
      <c r="H28" s="69" t="str">
        <f t="shared" ref="H28:H32" si="9">"1T"&amp;TEXT(F28,"00")&amp;TEXT(G28,"00")</f>
        <v>1T0107</v>
      </c>
      <c r="I28" s="69">
        <v>23</v>
      </c>
      <c r="J28" s="65" t="str">
        <f t="shared" ref="J28:J32" si="10">CONCATENATE(TEXT(F28,"00"),"-",TEXT(G28,"00"),"/",$Q$28,"-",R28)</f>
        <v>01-07/TS-03-NO</v>
      </c>
      <c r="K28" s="65" t="s">
        <v>33</v>
      </c>
      <c r="L28" s="65" t="s">
        <v>33</v>
      </c>
      <c r="M28" s="65" t="s">
        <v>33</v>
      </c>
      <c r="N28" s="65" t="s">
        <v>33</v>
      </c>
      <c r="O28" s="89" t="str">
        <f t="shared" ref="O28" si="11">_xlfn.TEXTBEFORE(D28,"(")</f>
        <v xml:space="preserve">10C x 1.0 SQ. MM
</v>
      </c>
      <c r="P28" s="65" t="str">
        <f t="shared" ref="P28:P32" si="12">CONCATENATE($Q$28,R28,"/",TEXT(F28,"00"),"-",TEXT(G28,"00"))</f>
        <v>TS-03NO/01-07</v>
      </c>
      <c r="Q28" s="161" t="str">
        <f t="shared" ref="Q28" si="13">C28</f>
        <v>TS-03</v>
      </c>
      <c r="R28" s="64" t="s">
        <v>39</v>
      </c>
      <c r="S28" s="161" t="s">
        <v>349</v>
      </c>
      <c r="T28" s="67" t="s">
        <v>343</v>
      </c>
    </row>
    <row r="29" spans="2:20" ht="30" customHeight="1" x14ac:dyDescent="0.25">
      <c r="B29" s="162"/>
      <c r="C29" s="162"/>
      <c r="D29" s="89"/>
      <c r="E29" s="67" t="s">
        <v>14</v>
      </c>
      <c r="F29" s="77">
        <v>1</v>
      </c>
      <c r="G29" s="77">
        <v>7</v>
      </c>
      <c r="H29" s="69" t="str">
        <f t="shared" si="9"/>
        <v>1T0107</v>
      </c>
      <c r="I29" s="69">
        <f>I28+2</f>
        <v>25</v>
      </c>
      <c r="J29" s="65" t="str">
        <f t="shared" si="10"/>
        <v>01-07/TS-03-NO</v>
      </c>
      <c r="K29" s="65" t="s">
        <v>33</v>
      </c>
      <c r="L29" s="65" t="s">
        <v>33</v>
      </c>
      <c r="M29" s="65" t="s">
        <v>33</v>
      </c>
      <c r="N29" s="65" t="s">
        <v>33</v>
      </c>
      <c r="O29" s="89"/>
      <c r="P29" s="65" t="str">
        <f t="shared" si="12"/>
        <v>TS-03NO/01-07</v>
      </c>
      <c r="Q29" s="162"/>
      <c r="R29" s="64" t="s">
        <v>39</v>
      </c>
      <c r="S29" s="162"/>
      <c r="T29" s="67" t="s">
        <v>344</v>
      </c>
    </row>
    <row r="30" spans="2:20" ht="30" customHeight="1" x14ac:dyDescent="0.25">
      <c r="B30" s="162"/>
      <c r="C30" s="162"/>
      <c r="D30" s="89"/>
      <c r="E30" s="67" t="s">
        <v>15</v>
      </c>
      <c r="F30" s="77">
        <v>1</v>
      </c>
      <c r="G30" s="77">
        <v>8</v>
      </c>
      <c r="H30" s="69" t="str">
        <f t="shared" si="9"/>
        <v>1T0108</v>
      </c>
      <c r="I30" s="69">
        <v>1</v>
      </c>
      <c r="J30" s="65" t="str">
        <f t="shared" si="10"/>
        <v>01-08/TS-03-NO</v>
      </c>
      <c r="K30" s="65" t="s">
        <v>33</v>
      </c>
      <c r="L30" s="65" t="s">
        <v>33</v>
      </c>
      <c r="M30" s="65" t="s">
        <v>33</v>
      </c>
      <c r="N30" s="65" t="s">
        <v>33</v>
      </c>
      <c r="O30" s="89"/>
      <c r="P30" s="65" t="str">
        <f t="shared" si="12"/>
        <v>TS-03NO/01-08</v>
      </c>
      <c r="Q30" s="162"/>
      <c r="R30" s="64" t="s">
        <v>39</v>
      </c>
      <c r="S30" s="162"/>
      <c r="T30" s="67" t="s">
        <v>345</v>
      </c>
    </row>
    <row r="31" spans="2:20" ht="30" customHeight="1" x14ac:dyDescent="0.25">
      <c r="B31" s="162"/>
      <c r="C31" s="162"/>
      <c r="D31" s="89"/>
      <c r="E31" s="67" t="s">
        <v>16</v>
      </c>
      <c r="F31" s="77">
        <v>1</v>
      </c>
      <c r="G31" s="77">
        <v>8</v>
      </c>
      <c r="H31" s="69" t="str">
        <f t="shared" si="9"/>
        <v>1T0108</v>
      </c>
      <c r="I31" s="69">
        <f>I30+2</f>
        <v>3</v>
      </c>
      <c r="J31" s="65" t="str">
        <f t="shared" si="10"/>
        <v>01-08/TS-03-NO</v>
      </c>
      <c r="K31" s="65" t="s">
        <v>33</v>
      </c>
      <c r="L31" s="65" t="s">
        <v>33</v>
      </c>
      <c r="M31" s="65" t="s">
        <v>33</v>
      </c>
      <c r="N31" s="65" t="s">
        <v>33</v>
      </c>
      <c r="O31" s="89"/>
      <c r="P31" s="65" t="str">
        <f t="shared" si="12"/>
        <v>TS-03NO/01-08</v>
      </c>
      <c r="Q31" s="162"/>
      <c r="R31" s="64" t="s">
        <v>39</v>
      </c>
      <c r="S31" s="162"/>
      <c r="T31" s="67" t="s">
        <v>346</v>
      </c>
    </row>
    <row r="32" spans="2:20" ht="30" customHeight="1" x14ac:dyDescent="0.25">
      <c r="B32" s="162"/>
      <c r="C32" s="162"/>
      <c r="D32" s="89"/>
      <c r="E32" s="67" t="s">
        <v>17</v>
      </c>
      <c r="F32" s="77">
        <v>1</v>
      </c>
      <c r="G32" s="77">
        <v>8</v>
      </c>
      <c r="H32" s="69" t="str">
        <f t="shared" si="9"/>
        <v>1T0108</v>
      </c>
      <c r="I32" s="69">
        <f>I31+1</f>
        <v>4</v>
      </c>
      <c r="J32" s="65" t="str">
        <f t="shared" si="10"/>
        <v>01-08/TS-03-C</v>
      </c>
      <c r="K32" s="65" t="s">
        <v>33</v>
      </c>
      <c r="L32" s="65" t="s">
        <v>33</v>
      </c>
      <c r="M32" s="65" t="s">
        <v>33</v>
      </c>
      <c r="N32" s="65" t="s">
        <v>33</v>
      </c>
      <c r="O32" s="89"/>
      <c r="P32" s="65" t="str">
        <f t="shared" si="12"/>
        <v>TS-03C/01-08</v>
      </c>
      <c r="Q32" s="162"/>
      <c r="R32" s="64" t="s">
        <v>40</v>
      </c>
      <c r="S32" s="162"/>
      <c r="T32" s="89" t="str">
        <f>UPPER("IN PLC SIDE, "&amp;H28&amp;": "&amp;I28+1&amp;", "&amp;H29&amp;": "&amp;I29+1&amp;", "&amp;H30&amp;": "&amp;I30+1&amp;" &amp; "&amp;H31&amp;": "&amp;I31+1&amp;" ARE ALREADY LOOPED TOGETHER")</f>
        <v>IN PLC SIDE, 1T0107: 24, 1T0107: 26, 1T0108: 2 &amp; 1T0108: 4 ARE ALREADY LOOPED TOGETHER</v>
      </c>
    </row>
    <row r="33" spans="2:20" ht="30" customHeight="1" x14ac:dyDescent="0.25">
      <c r="B33" s="162"/>
      <c r="C33" s="162"/>
      <c r="D33" s="89"/>
      <c r="E33" s="67" t="s">
        <v>18</v>
      </c>
      <c r="F33" s="77" t="s">
        <v>45</v>
      </c>
      <c r="G33" s="77" t="s">
        <v>45</v>
      </c>
      <c r="H33" s="69" t="s">
        <v>45</v>
      </c>
      <c r="I33" s="69" t="s">
        <v>45</v>
      </c>
      <c r="J33" s="65" t="s">
        <v>45</v>
      </c>
      <c r="K33" s="65" t="s">
        <v>45</v>
      </c>
      <c r="L33" s="65" t="s">
        <v>45</v>
      </c>
      <c r="M33" s="65" t="s">
        <v>45</v>
      </c>
      <c r="N33" s="65" t="s">
        <v>45</v>
      </c>
      <c r="O33" s="89"/>
      <c r="P33" s="65" t="s">
        <v>45</v>
      </c>
      <c r="Q33" s="162"/>
      <c r="R33" s="64" t="s">
        <v>45</v>
      </c>
      <c r="S33" s="162"/>
      <c r="T33" s="89"/>
    </row>
    <row r="34" spans="2:20" ht="30" customHeight="1" x14ac:dyDescent="0.25">
      <c r="B34" s="162"/>
      <c r="C34" s="162"/>
      <c r="D34" s="89"/>
      <c r="E34" s="67" t="s">
        <v>19</v>
      </c>
      <c r="F34" s="77" t="s">
        <v>45</v>
      </c>
      <c r="G34" s="77" t="s">
        <v>45</v>
      </c>
      <c r="H34" s="69" t="s">
        <v>45</v>
      </c>
      <c r="I34" s="69" t="s">
        <v>45</v>
      </c>
      <c r="J34" s="65" t="s">
        <v>45</v>
      </c>
      <c r="K34" s="65" t="s">
        <v>45</v>
      </c>
      <c r="L34" s="65" t="s">
        <v>45</v>
      </c>
      <c r="M34" s="65" t="s">
        <v>45</v>
      </c>
      <c r="N34" s="65" t="s">
        <v>45</v>
      </c>
      <c r="O34" s="89"/>
      <c r="P34" s="65" t="s">
        <v>45</v>
      </c>
      <c r="Q34" s="162"/>
      <c r="R34" s="64" t="s">
        <v>45</v>
      </c>
      <c r="S34" s="162"/>
      <c r="T34" s="89"/>
    </row>
    <row r="35" spans="2:20" ht="30" customHeight="1" x14ac:dyDescent="0.25">
      <c r="B35" s="162"/>
      <c r="C35" s="162"/>
      <c r="D35" s="89"/>
      <c r="E35" s="67" t="s">
        <v>20</v>
      </c>
      <c r="F35" s="77" t="s">
        <v>45</v>
      </c>
      <c r="G35" s="77" t="s">
        <v>45</v>
      </c>
      <c r="H35" s="69" t="s">
        <v>45</v>
      </c>
      <c r="I35" s="69" t="s">
        <v>45</v>
      </c>
      <c r="J35" s="65" t="s">
        <v>45</v>
      </c>
      <c r="K35" s="65" t="s">
        <v>45</v>
      </c>
      <c r="L35" s="65" t="s">
        <v>45</v>
      </c>
      <c r="M35" s="65" t="s">
        <v>45</v>
      </c>
      <c r="N35" s="65" t="s">
        <v>45</v>
      </c>
      <c r="O35" s="89"/>
      <c r="P35" s="65" t="s">
        <v>45</v>
      </c>
      <c r="Q35" s="162"/>
      <c r="R35" s="64" t="s">
        <v>45</v>
      </c>
      <c r="S35" s="162"/>
      <c r="T35" s="89"/>
    </row>
    <row r="36" spans="2:20" ht="30" customHeight="1" x14ac:dyDescent="0.25">
      <c r="B36" s="162"/>
      <c r="C36" s="162"/>
      <c r="D36" s="89"/>
      <c r="E36" s="67" t="s">
        <v>21</v>
      </c>
      <c r="F36" s="77" t="s">
        <v>45</v>
      </c>
      <c r="G36" s="77" t="s">
        <v>45</v>
      </c>
      <c r="H36" s="69" t="s">
        <v>45</v>
      </c>
      <c r="I36" s="69" t="s">
        <v>45</v>
      </c>
      <c r="J36" s="65" t="s">
        <v>45</v>
      </c>
      <c r="K36" s="65" t="s">
        <v>45</v>
      </c>
      <c r="L36" s="65" t="s">
        <v>45</v>
      </c>
      <c r="M36" s="65" t="s">
        <v>45</v>
      </c>
      <c r="N36" s="65" t="s">
        <v>45</v>
      </c>
      <c r="O36" s="89"/>
      <c r="P36" s="65" t="s">
        <v>45</v>
      </c>
      <c r="Q36" s="162"/>
      <c r="R36" s="64" t="s">
        <v>45</v>
      </c>
      <c r="S36" s="162"/>
      <c r="T36" s="89"/>
    </row>
    <row r="37" spans="2:20" ht="30" customHeight="1" x14ac:dyDescent="0.25">
      <c r="B37" s="162"/>
      <c r="C37" s="162"/>
      <c r="D37" s="89"/>
      <c r="E37" s="67" t="s">
        <v>30</v>
      </c>
      <c r="F37" s="77" t="s">
        <v>45</v>
      </c>
      <c r="G37" s="77" t="s">
        <v>45</v>
      </c>
      <c r="H37" s="69" t="s">
        <v>45</v>
      </c>
      <c r="I37" s="69" t="s">
        <v>45</v>
      </c>
      <c r="J37" s="65" t="s">
        <v>45</v>
      </c>
      <c r="K37" s="65" t="s">
        <v>45</v>
      </c>
      <c r="L37" s="65" t="s">
        <v>45</v>
      </c>
      <c r="M37" s="65" t="s">
        <v>45</v>
      </c>
      <c r="N37" s="65" t="s">
        <v>45</v>
      </c>
      <c r="O37" s="89"/>
      <c r="P37" s="65" t="s">
        <v>45</v>
      </c>
      <c r="Q37" s="162"/>
      <c r="R37" s="64" t="s">
        <v>45</v>
      </c>
      <c r="S37" s="162"/>
      <c r="T37" s="89"/>
    </row>
    <row r="38" spans="2:20" ht="30" customHeight="1" x14ac:dyDescent="0.25">
      <c r="B38" s="161">
        <f>B28+1</f>
        <v>4</v>
      </c>
      <c r="C38" s="161" t="s">
        <v>315</v>
      </c>
      <c r="D38" s="89" t="s">
        <v>329</v>
      </c>
      <c r="E38" s="67" t="s">
        <v>13</v>
      </c>
      <c r="F38" s="77">
        <v>1</v>
      </c>
      <c r="G38" s="77">
        <v>8</v>
      </c>
      <c r="H38" s="69" t="str">
        <f t="shared" ref="H38:H42" si="14">"1T"&amp;TEXT(F38,"00")&amp;TEXT(G38,"00")</f>
        <v>1T0108</v>
      </c>
      <c r="I38" s="69">
        <v>5</v>
      </c>
      <c r="J38" s="65" t="str">
        <f t="shared" ref="J38:J42" si="15">CONCATENATE(TEXT(F38,"00"),"-",TEXT(G38,"00"),"/",$Q$38,"-",R38)</f>
        <v>01-08/TS-04-NO</v>
      </c>
      <c r="K38" s="65" t="s">
        <v>33</v>
      </c>
      <c r="L38" s="65" t="s">
        <v>33</v>
      </c>
      <c r="M38" s="65" t="s">
        <v>33</v>
      </c>
      <c r="N38" s="65" t="s">
        <v>33</v>
      </c>
      <c r="O38" s="89" t="str">
        <f t="shared" ref="O38" si="16">_xlfn.TEXTBEFORE(D38,"(")</f>
        <v xml:space="preserve">10C x 1.0 SQ. MM
</v>
      </c>
      <c r="P38" s="65" t="str">
        <f t="shared" ref="P38:P42" si="17">CONCATENATE($Q$38,R38,"/",TEXT(F38,"00"),"-",TEXT(G38,"00"))</f>
        <v>TS-04NO/01-08</v>
      </c>
      <c r="Q38" s="161" t="str">
        <f t="shared" ref="Q38" si="18">C38</f>
        <v>TS-04</v>
      </c>
      <c r="R38" s="64" t="s">
        <v>39</v>
      </c>
      <c r="S38" s="161" t="s">
        <v>350</v>
      </c>
      <c r="T38" s="67" t="s">
        <v>343</v>
      </c>
    </row>
    <row r="39" spans="2:20" ht="30" customHeight="1" x14ac:dyDescent="0.25">
      <c r="B39" s="162"/>
      <c r="C39" s="162"/>
      <c r="D39" s="89"/>
      <c r="E39" s="67" t="s">
        <v>14</v>
      </c>
      <c r="F39" s="77">
        <v>1</v>
      </c>
      <c r="G39" s="77">
        <v>8</v>
      </c>
      <c r="H39" s="69" t="str">
        <f t="shared" si="14"/>
        <v>1T0108</v>
      </c>
      <c r="I39" s="69">
        <f>I38+2</f>
        <v>7</v>
      </c>
      <c r="J39" s="65" t="str">
        <f t="shared" si="15"/>
        <v>01-08/TS-04-NO</v>
      </c>
      <c r="K39" s="65" t="s">
        <v>33</v>
      </c>
      <c r="L39" s="65" t="s">
        <v>33</v>
      </c>
      <c r="M39" s="65" t="s">
        <v>33</v>
      </c>
      <c r="N39" s="65" t="s">
        <v>33</v>
      </c>
      <c r="O39" s="89"/>
      <c r="P39" s="65" t="str">
        <f t="shared" si="17"/>
        <v>TS-04NO/01-08</v>
      </c>
      <c r="Q39" s="162"/>
      <c r="R39" s="64" t="s">
        <v>39</v>
      </c>
      <c r="S39" s="162"/>
      <c r="T39" s="67" t="s">
        <v>344</v>
      </c>
    </row>
    <row r="40" spans="2:20" ht="30" customHeight="1" x14ac:dyDescent="0.25">
      <c r="B40" s="162"/>
      <c r="C40" s="162"/>
      <c r="D40" s="89"/>
      <c r="E40" s="67" t="s">
        <v>15</v>
      </c>
      <c r="F40" s="77">
        <v>1</v>
      </c>
      <c r="G40" s="77">
        <v>8</v>
      </c>
      <c r="H40" s="69" t="str">
        <f t="shared" si="14"/>
        <v>1T0108</v>
      </c>
      <c r="I40" s="69">
        <f>I39+2</f>
        <v>9</v>
      </c>
      <c r="J40" s="65" t="str">
        <f t="shared" si="15"/>
        <v>01-08/TS-04-NO</v>
      </c>
      <c r="K40" s="65" t="s">
        <v>33</v>
      </c>
      <c r="L40" s="65" t="s">
        <v>33</v>
      </c>
      <c r="M40" s="65" t="s">
        <v>33</v>
      </c>
      <c r="N40" s="65" t="s">
        <v>33</v>
      </c>
      <c r="O40" s="89"/>
      <c r="P40" s="65" t="str">
        <f t="shared" si="17"/>
        <v>TS-04NO/01-08</v>
      </c>
      <c r="Q40" s="162"/>
      <c r="R40" s="64" t="s">
        <v>39</v>
      </c>
      <c r="S40" s="162"/>
      <c r="T40" s="67" t="s">
        <v>345</v>
      </c>
    </row>
    <row r="41" spans="2:20" ht="30" customHeight="1" x14ac:dyDescent="0.25">
      <c r="B41" s="162"/>
      <c r="C41" s="162"/>
      <c r="D41" s="89"/>
      <c r="E41" s="67" t="s">
        <v>16</v>
      </c>
      <c r="F41" s="77">
        <v>1</v>
      </c>
      <c r="G41" s="77">
        <v>8</v>
      </c>
      <c r="H41" s="69" t="str">
        <f t="shared" si="14"/>
        <v>1T0108</v>
      </c>
      <c r="I41" s="69">
        <f>I40+2</f>
        <v>11</v>
      </c>
      <c r="J41" s="65" t="str">
        <f t="shared" si="15"/>
        <v>01-08/TS-04-NO</v>
      </c>
      <c r="K41" s="65" t="s">
        <v>33</v>
      </c>
      <c r="L41" s="65" t="s">
        <v>33</v>
      </c>
      <c r="M41" s="65" t="s">
        <v>33</v>
      </c>
      <c r="N41" s="65" t="s">
        <v>33</v>
      </c>
      <c r="O41" s="89"/>
      <c r="P41" s="65" t="str">
        <f t="shared" si="17"/>
        <v>TS-04NO/01-08</v>
      </c>
      <c r="Q41" s="162"/>
      <c r="R41" s="64" t="s">
        <v>39</v>
      </c>
      <c r="S41" s="162"/>
      <c r="T41" s="67" t="s">
        <v>346</v>
      </c>
    </row>
    <row r="42" spans="2:20" ht="30" customHeight="1" x14ac:dyDescent="0.25">
      <c r="B42" s="162"/>
      <c r="C42" s="162"/>
      <c r="D42" s="89"/>
      <c r="E42" s="67" t="s">
        <v>17</v>
      </c>
      <c r="F42" s="77">
        <v>1</v>
      </c>
      <c r="G42" s="77">
        <v>8</v>
      </c>
      <c r="H42" s="69" t="str">
        <f t="shared" si="14"/>
        <v>1T0108</v>
      </c>
      <c r="I42" s="69">
        <f>I41+1</f>
        <v>12</v>
      </c>
      <c r="J42" s="65" t="str">
        <f t="shared" si="15"/>
        <v>01-08/TS-04-C</v>
      </c>
      <c r="K42" s="65" t="s">
        <v>33</v>
      </c>
      <c r="L42" s="65" t="s">
        <v>33</v>
      </c>
      <c r="M42" s="65" t="s">
        <v>33</v>
      </c>
      <c r="N42" s="65" t="s">
        <v>33</v>
      </c>
      <c r="O42" s="89"/>
      <c r="P42" s="65" t="str">
        <f t="shared" si="17"/>
        <v>TS-04C/01-08</v>
      </c>
      <c r="Q42" s="162"/>
      <c r="R42" s="64" t="s">
        <v>40</v>
      </c>
      <c r="S42" s="162"/>
      <c r="T42" s="89" t="str">
        <f>UPPER("IN PLC SIDE, "&amp;H38&amp;": "&amp;I38+1&amp;", "&amp;H39&amp;": "&amp;I39+1&amp;", "&amp;H40&amp;": "&amp;I40+1&amp;" &amp; "&amp;H41&amp;": "&amp;I41+1&amp;" ARE ALREADY LOOPED TOGETHER")</f>
        <v>IN PLC SIDE, 1T0108: 6, 1T0108: 8, 1T0108: 10 &amp; 1T0108: 12 ARE ALREADY LOOPED TOGETHER</v>
      </c>
    </row>
    <row r="43" spans="2:20" ht="30" customHeight="1" x14ac:dyDescent="0.25">
      <c r="B43" s="162"/>
      <c r="C43" s="162"/>
      <c r="D43" s="89"/>
      <c r="E43" s="67" t="s">
        <v>18</v>
      </c>
      <c r="F43" s="77" t="s">
        <v>45</v>
      </c>
      <c r="G43" s="77" t="s">
        <v>45</v>
      </c>
      <c r="H43" s="69" t="s">
        <v>45</v>
      </c>
      <c r="I43" s="69" t="s">
        <v>45</v>
      </c>
      <c r="J43" s="65" t="s">
        <v>45</v>
      </c>
      <c r="K43" s="65" t="s">
        <v>45</v>
      </c>
      <c r="L43" s="65" t="s">
        <v>45</v>
      </c>
      <c r="M43" s="65" t="s">
        <v>45</v>
      </c>
      <c r="N43" s="65" t="s">
        <v>45</v>
      </c>
      <c r="O43" s="89"/>
      <c r="P43" s="65" t="s">
        <v>45</v>
      </c>
      <c r="Q43" s="162"/>
      <c r="R43" s="64" t="s">
        <v>45</v>
      </c>
      <c r="S43" s="162"/>
      <c r="T43" s="89"/>
    </row>
    <row r="44" spans="2:20" ht="30" customHeight="1" x14ac:dyDescent="0.25">
      <c r="B44" s="162"/>
      <c r="C44" s="162"/>
      <c r="D44" s="89"/>
      <c r="E44" s="67" t="s">
        <v>19</v>
      </c>
      <c r="F44" s="77" t="s">
        <v>45</v>
      </c>
      <c r="G44" s="77" t="s">
        <v>45</v>
      </c>
      <c r="H44" s="69" t="s">
        <v>45</v>
      </c>
      <c r="I44" s="69" t="s">
        <v>45</v>
      </c>
      <c r="J44" s="65" t="s">
        <v>45</v>
      </c>
      <c r="K44" s="65" t="s">
        <v>45</v>
      </c>
      <c r="L44" s="65" t="s">
        <v>45</v>
      </c>
      <c r="M44" s="65" t="s">
        <v>45</v>
      </c>
      <c r="N44" s="65" t="s">
        <v>45</v>
      </c>
      <c r="O44" s="89"/>
      <c r="P44" s="65" t="s">
        <v>45</v>
      </c>
      <c r="Q44" s="162"/>
      <c r="R44" s="64" t="s">
        <v>45</v>
      </c>
      <c r="S44" s="162"/>
      <c r="T44" s="89"/>
    </row>
    <row r="45" spans="2:20" ht="30" customHeight="1" x14ac:dyDescent="0.25">
      <c r="B45" s="162"/>
      <c r="C45" s="162"/>
      <c r="D45" s="89"/>
      <c r="E45" s="67" t="s">
        <v>20</v>
      </c>
      <c r="F45" s="77" t="s">
        <v>45</v>
      </c>
      <c r="G45" s="77" t="s">
        <v>45</v>
      </c>
      <c r="H45" s="69" t="s">
        <v>45</v>
      </c>
      <c r="I45" s="69" t="s">
        <v>45</v>
      </c>
      <c r="J45" s="65" t="s">
        <v>45</v>
      </c>
      <c r="K45" s="65" t="s">
        <v>45</v>
      </c>
      <c r="L45" s="65" t="s">
        <v>45</v>
      </c>
      <c r="M45" s="65" t="s">
        <v>45</v>
      </c>
      <c r="N45" s="65" t="s">
        <v>45</v>
      </c>
      <c r="O45" s="89"/>
      <c r="P45" s="65" t="s">
        <v>45</v>
      </c>
      <c r="Q45" s="162"/>
      <c r="R45" s="64" t="s">
        <v>45</v>
      </c>
      <c r="S45" s="162"/>
      <c r="T45" s="89"/>
    </row>
    <row r="46" spans="2:20" ht="30" customHeight="1" x14ac:dyDescent="0.25">
      <c r="B46" s="162"/>
      <c r="C46" s="162"/>
      <c r="D46" s="89"/>
      <c r="E46" s="67" t="s">
        <v>21</v>
      </c>
      <c r="F46" s="77" t="s">
        <v>45</v>
      </c>
      <c r="G46" s="77" t="s">
        <v>45</v>
      </c>
      <c r="H46" s="69" t="s">
        <v>45</v>
      </c>
      <c r="I46" s="69" t="s">
        <v>45</v>
      </c>
      <c r="J46" s="65" t="s">
        <v>45</v>
      </c>
      <c r="K46" s="65" t="s">
        <v>45</v>
      </c>
      <c r="L46" s="65" t="s">
        <v>45</v>
      </c>
      <c r="M46" s="65" t="s">
        <v>45</v>
      </c>
      <c r="N46" s="65" t="s">
        <v>45</v>
      </c>
      <c r="O46" s="89"/>
      <c r="P46" s="65" t="s">
        <v>45</v>
      </c>
      <c r="Q46" s="162"/>
      <c r="R46" s="64" t="s">
        <v>45</v>
      </c>
      <c r="S46" s="162"/>
      <c r="T46" s="89"/>
    </row>
    <row r="47" spans="2:20" ht="30" customHeight="1" x14ac:dyDescent="0.25">
      <c r="B47" s="162"/>
      <c r="C47" s="162"/>
      <c r="D47" s="89"/>
      <c r="E47" s="67" t="s">
        <v>30</v>
      </c>
      <c r="F47" s="77" t="s">
        <v>45</v>
      </c>
      <c r="G47" s="77" t="s">
        <v>45</v>
      </c>
      <c r="H47" s="69" t="s">
        <v>45</v>
      </c>
      <c r="I47" s="69" t="s">
        <v>45</v>
      </c>
      <c r="J47" s="65" t="s">
        <v>45</v>
      </c>
      <c r="K47" s="65" t="s">
        <v>45</v>
      </c>
      <c r="L47" s="65" t="s">
        <v>45</v>
      </c>
      <c r="M47" s="65" t="s">
        <v>45</v>
      </c>
      <c r="N47" s="65" t="s">
        <v>45</v>
      </c>
      <c r="O47" s="89"/>
      <c r="P47" s="65" t="s">
        <v>45</v>
      </c>
      <c r="Q47" s="162"/>
      <c r="R47" s="64" t="s">
        <v>45</v>
      </c>
      <c r="S47" s="162"/>
      <c r="T47" s="89"/>
    </row>
    <row r="48" spans="2:20" ht="30" customHeight="1" x14ac:dyDescent="0.25">
      <c r="B48" s="161">
        <f>B38+1</f>
        <v>5</v>
      </c>
      <c r="C48" s="161" t="s">
        <v>316</v>
      </c>
      <c r="D48" s="89" t="s">
        <v>329</v>
      </c>
      <c r="E48" s="67" t="s">
        <v>13</v>
      </c>
      <c r="F48" s="77">
        <v>1</v>
      </c>
      <c r="G48" s="77">
        <v>8</v>
      </c>
      <c r="H48" s="69" t="str">
        <f t="shared" ref="H48:H52" si="19">"1T"&amp;TEXT(F48,"00")&amp;TEXT(G48,"00")</f>
        <v>1T0108</v>
      </c>
      <c r="I48" s="69">
        <v>13</v>
      </c>
      <c r="J48" s="65" t="str">
        <f t="shared" ref="J48:J52" si="20">CONCATENATE(TEXT(F48,"00"),"-",TEXT(G48,"00"),"/",$Q$48,"-",R48)</f>
        <v>01-08/TS-05-NO</v>
      </c>
      <c r="K48" s="65" t="s">
        <v>33</v>
      </c>
      <c r="L48" s="65" t="s">
        <v>33</v>
      </c>
      <c r="M48" s="65" t="s">
        <v>33</v>
      </c>
      <c r="N48" s="65" t="s">
        <v>33</v>
      </c>
      <c r="O48" s="89" t="str">
        <f t="shared" ref="O48" si="21">_xlfn.TEXTBEFORE(D48,"(")</f>
        <v xml:space="preserve">10C x 1.0 SQ. MM
</v>
      </c>
      <c r="P48" s="65" t="str">
        <f>CONCATENATE($Q$48,R48,"/",TEXT(F48,"00"),"-",TEXT(G48,"00"))</f>
        <v>TS-05NO/01-08</v>
      </c>
      <c r="Q48" s="161" t="str">
        <f t="shared" ref="Q48" si="22">C48</f>
        <v>TS-05</v>
      </c>
      <c r="R48" s="64" t="s">
        <v>39</v>
      </c>
      <c r="S48" s="161" t="s">
        <v>351</v>
      </c>
      <c r="T48" s="67" t="s">
        <v>343</v>
      </c>
    </row>
    <row r="49" spans="2:20" ht="30" customHeight="1" x14ac:dyDescent="0.25">
      <c r="B49" s="162"/>
      <c r="C49" s="162"/>
      <c r="D49" s="89"/>
      <c r="E49" s="67" t="s">
        <v>14</v>
      </c>
      <c r="F49" s="77">
        <v>1</v>
      </c>
      <c r="G49" s="77">
        <v>8</v>
      </c>
      <c r="H49" s="69" t="str">
        <f t="shared" si="19"/>
        <v>1T0108</v>
      </c>
      <c r="I49" s="69">
        <f>I48+2</f>
        <v>15</v>
      </c>
      <c r="J49" s="65" t="str">
        <f t="shared" si="20"/>
        <v>01-08/TS-05-NO</v>
      </c>
      <c r="K49" s="65" t="s">
        <v>33</v>
      </c>
      <c r="L49" s="65" t="s">
        <v>33</v>
      </c>
      <c r="M49" s="65" t="s">
        <v>33</v>
      </c>
      <c r="N49" s="65" t="s">
        <v>33</v>
      </c>
      <c r="O49" s="89"/>
      <c r="P49" s="65" t="str">
        <f>CONCATENATE($Q$48,R49,"/",TEXT(F49,"00"),"-",TEXT(G49,"00"))</f>
        <v>TS-05NO/01-08</v>
      </c>
      <c r="Q49" s="162"/>
      <c r="R49" s="64" t="s">
        <v>39</v>
      </c>
      <c r="S49" s="162"/>
      <c r="T49" s="67" t="s">
        <v>344</v>
      </c>
    </row>
    <row r="50" spans="2:20" ht="30" customHeight="1" x14ac:dyDescent="0.25">
      <c r="B50" s="162"/>
      <c r="C50" s="162"/>
      <c r="D50" s="89"/>
      <c r="E50" s="67" t="s">
        <v>15</v>
      </c>
      <c r="F50" s="77">
        <v>1</v>
      </c>
      <c r="G50" s="77">
        <v>8</v>
      </c>
      <c r="H50" s="69" t="str">
        <f t="shared" si="19"/>
        <v>1T0108</v>
      </c>
      <c r="I50" s="69">
        <f>I49+2</f>
        <v>17</v>
      </c>
      <c r="J50" s="65" t="str">
        <f t="shared" si="20"/>
        <v>01-08/TS-05-NO</v>
      </c>
      <c r="K50" s="65" t="s">
        <v>33</v>
      </c>
      <c r="L50" s="65" t="s">
        <v>33</v>
      </c>
      <c r="M50" s="65" t="s">
        <v>33</v>
      </c>
      <c r="N50" s="65" t="s">
        <v>33</v>
      </c>
      <c r="O50" s="89"/>
      <c r="P50" s="65" t="str">
        <f>CONCATENATE($Q$48,R50,"/",TEXT(F50,"00"),"-",TEXT(G50,"00"))</f>
        <v>TS-05NO/01-08</v>
      </c>
      <c r="Q50" s="162"/>
      <c r="R50" s="64" t="s">
        <v>39</v>
      </c>
      <c r="S50" s="162"/>
      <c r="T50" s="67" t="s">
        <v>345</v>
      </c>
    </row>
    <row r="51" spans="2:20" ht="30" customHeight="1" x14ac:dyDescent="0.25">
      <c r="B51" s="162"/>
      <c r="C51" s="162"/>
      <c r="D51" s="89"/>
      <c r="E51" s="67" t="s">
        <v>16</v>
      </c>
      <c r="F51" s="77">
        <v>1</v>
      </c>
      <c r="G51" s="77">
        <v>8</v>
      </c>
      <c r="H51" s="69" t="str">
        <f t="shared" si="19"/>
        <v>1T0108</v>
      </c>
      <c r="I51" s="69">
        <f>I50+2</f>
        <v>19</v>
      </c>
      <c r="J51" s="65" t="str">
        <f t="shared" si="20"/>
        <v>01-08/TS-05-NO</v>
      </c>
      <c r="K51" s="65" t="s">
        <v>33</v>
      </c>
      <c r="L51" s="65" t="s">
        <v>33</v>
      </c>
      <c r="M51" s="65" t="s">
        <v>33</v>
      </c>
      <c r="N51" s="65" t="s">
        <v>33</v>
      </c>
      <c r="O51" s="89"/>
      <c r="P51" s="65" t="str">
        <f>CONCATENATE($Q$48,R51,"/",TEXT(F51,"00"),"-",TEXT(G51,"00"))</f>
        <v>TS-05NO/01-08</v>
      </c>
      <c r="Q51" s="162"/>
      <c r="R51" s="64" t="s">
        <v>39</v>
      </c>
      <c r="S51" s="162"/>
      <c r="T51" s="67" t="s">
        <v>346</v>
      </c>
    </row>
    <row r="52" spans="2:20" ht="30" customHeight="1" x14ac:dyDescent="0.25">
      <c r="B52" s="162"/>
      <c r="C52" s="162"/>
      <c r="D52" s="89"/>
      <c r="E52" s="67" t="s">
        <v>17</v>
      </c>
      <c r="F52" s="77">
        <v>1</v>
      </c>
      <c r="G52" s="77">
        <v>8</v>
      </c>
      <c r="H52" s="69" t="str">
        <f t="shared" si="19"/>
        <v>1T0108</v>
      </c>
      <c r="I52" s="69">
        <f>I51+1</f>
        <v>20</v>
      </c>
      <c r="J52" s="65" t="str">
        <f t="shared" si="20"/>
        <v>01-08/TS-05-C</v>
      </c>
      <c r="K52" s="65" t="s">
        <v>33</v>
      </c>
      <c r="L52" s="65" t="s">
        <v>33</v>
      </c>
      <c r="M52" s="65" t="s">
        <v>33</v>
      </c>
      <c r="N52" s="65" t="s">
        <v>33</v>
      </c>
      <c r="O52" s="89"/>
      <c r="P52" s="65" t="str">
        <f>CONCATENATE($Q$48,R52,"/",TEXT(F52,"00"),"-",TEXT(G52,"00"))</f>
        <v>TS-05C/01-08</v>
      </c>
      <c r="Q52" s="162"/>
      <c r="R52" s="64" t="s">
        <v>40</v>
      </c>
      <c r="S52" s="162"/>
      <c r="T52" s="89" t="str">
        <f>UPPER("IN PLC SIDE, "&amp;H48&amp;": "&amp;I48+1&amp;", "&amp;H49&amp;": "&amp;I49+1&amp;", "&amp;H50&amp;": "&amp;I50+1&amp;" &amp; "&amp;H51&amp;": "&amp;I51+1&amp;" ARE ALREADY LOOPED TOGETHER")</f>
        <v>IN PLC SIDE, 1T0108: 14, 1T0108: 16, 1T0108: 18 &amp; 1T0108: 20 ARE ALREADY LOOPED TOGETHER</v>
      </c>
    </row>
    <row r="53" spans="2:20" ht="30" customHeight="1" x14ac:dyDescent="0.25">
      <c r="B53" s="162"/>
      <c r="C53" s="162"/>
      <c r="D53" s="89"/>
      <c r="E53" s="67" t="s">
        <v>18</v>
      </c>
      <c r="F53" s="77" t="s">
        <v>45</v>
      </c>
      <c r="G53" s="77" t="s">
        <v>45</v>
      </c>
      <c r="H53" s="69" t="s">
        <v>45</v>
      </c>
      <c r="I53" s="69" t="s">
        <v>45</v>
      </c>
      <c r="J53" s="65" t="s">
        <v>45</v>
      </c>
      <c r="K53" s="65" t="s">
        <v>45</v>
      </c>
      <c r="L53" s="65" t="s">
        <v>45</v>
      </c>
      <c r="M53" s="65" t="s">
        <v>45</v>
      </c>
      <c r="N53" s="65" t="s">
        <v>45</v>
      </c>
      <c r="O53" s="89"/>
      <c r="P53" s="65" t="s">
        <v>45</v>
      </c>
      <c r="Q53" s="162"/>
      <c r="R53" s="64" t="s">
        <v>45</v>
      </c>
      <c r="S53" s="162"/>
      <c r="T53" s="89"/>
    </row>
    <row r="54" spans="2:20" ht="30" customHeight="1" x14ac:dyDescent="0.25">
      <c r="B54" s="162"/>
      <c r="C54" s="162"/>
      <c r="D54" s="89"/>
      <c r="E54" s="67" t="s">
        <v>19</v>
      </c>
      <c r="F54" s="77" t="s">
        <v>45</v>
      </c>
      <c r="G54" s="77" t="s">
        <v>45</v>
      </c>
      <c r="H54" s="69" t="s">
        <v>45</v>
      </c>
      <c r="I54" s="69" t="s">
        <v>45</v>
      </c>
      <c r="J54" s="65" t="s">
        <v>45</v>
      </c>
      <c r="K54" s="65" t="s">
        <v>45</v>
      </c>
      <c r="L54" s="65" t="s">
        <v>45</v>
      </c>
      <c r="M54" s="65" t="s">
        <v>45</v>
      </c>
      <c r="N54" s="65" t="s">
        <v>45</v>
      </c>
      <c r="O54" s="89"/>
      <c r="P54" s="65" t="s">
        <v>45</v>
      </c>
      <c r="Q54" s="162"/>
      <c r="R54" s="64" t="s">
        <v>45</v>
      </c>
      <c r="S54" s="162"/>
      <c r="T54" s="89"/>
    </row>
    <row r="55" spans="2:20" ht="30" customHeight="1" x14ac:dyDescent="0.25">
      <c r="B55" s="162"/>
      <c r="C55" s="162"/>
      <c r="D55" s="89"/>
      <c r="E55" s="67" t="s">
        <v>20</v>
      </c>
      <c r="F55" s="77" t="s">
        <v>45</v>
      </c>
      <c r="G55" s="77" t="s">
        <v>45</v>
      </c>
      <c r="H55" s="69" t="s">
        <v>45</v>
      </c>
      <c r="I55" s="69" t="s">
        <v>45</v>
      </c>
      <c r="J55" s="65" t="s">
        <v>45</v>
      </c>
      <c r="K55" s="65" t="s">
        <v>45</v>
      </c>
      <c r="L55" s="65" t="s">
        <v>45</v>
      </c>
      <c r="M55" s="65" t="s">
        <v>45</v>
      </c>
      <c r="N55" s="65" t="s">
        <v>45</v>
      </c>
      <c r="O55" s="89"/>
      <c r="P55" s="65" t="s">
        <v>45</v>
      </c>
      <c r="Q55" s="162"/>
      <c r="R55" s="64" t="s">
        <v>45</v>
      </c>
      <c r="S55" s="162"/>
      <c r="T55" s="89"/>
    </row>
    <row r="56" spans="2:20" ht="30" customHeight="1" x14ac:dyDescent="0.25">
      <c r="B56" s="162"/>
      <c r="C56" s="162"/>
      <c r="D56" s="89"/>
      <c r="E56" s="67" t="s">
        <v>21</v>
      </c>
      <c r="F56" s="77" t="s">
        <v>45</v>
      </c>
      <c r="G56" s="77" t="s">
        <v>45</v>
      </c>
      <c r="H56" s="69" t="s">
        <v>45</v>
      </c>
      <c r="I56" s="69" t="s">
        <v>45</v>
      </c>
      <c r="J56" s="65" t="s">
        <v>45</v>
      </c>
      <c r="K56" s="65" t="s">
        <v>45</v>
      </c>
      <c r="L56" s="65" t="s">
        <v>45</v>
      </c>
      <c r="M56" s="65" t="s">
        <v>45</v>
      </c>
      <c r="N56" s="65" t="s">
        <v>45</v>
      </c>
      <c r="O56" s="89"/>
      <c r="P56" s="65" t="s">
        <v>45</v>
      </c>
      <c r="Q56" s="162"/>
      <c r="R56" s="64" t="s">
        <v>45</v>
      </c>
      <c r="S56" s="162"/>
      <c r="T56" s="89"/>
    </row>
    <row r="57" spans="2:20" ht="30" customHeight="1" x14ac:dyDescent="0.25">
      <c r="B57" s="162"/>
      <c r="C57" s="162"/>
      <c r="D57" s="89"/>
      <c r="E57" s="67" t="s">
        <v>30</v>
      </c>
      <c r="F57" s="77" t="s">
        <v>45</v>
      </c>
      <c r="G57" s="77" t="s">
        <v>45</v>
      </c>
      <c r="H57" s="69" t="s">
        <v>45</v>
      </c>
      <c r="I57" s="69" t="s">
        <v>45</v>
      </c>
      <c r="J57" s="65" t="s">
        <v>45</v>
      </c>
      <c r="K57" s="65" t="s">
        <v>45</v>
      </c>
      <c r="L57" s="65" t="s">
        <v>45</v>
      </c>
      <c r="M57" s="65" t="s">
        <v>45</v>
      </c>
      <c r="N57" s="65" t="s">
        <v>45</v>
      </c>
      <c r="O57" s="89"/>
      <c r="P57" s="65" t="s">
        <v>45</v>
      </c>
      <c r="Q57" s="162"/>
      <c r="R57" s="64" t="s">
        <v>45</v>
      </c>
      <c r="S57" s="162"/>
      <c r="T57" s="89"/>
    </row>
    <row r="58" spans="2:20" ht="30" customHeight="1" x14ac:dyDescent="0.25">
      <c r="B58" s="161">
        <f>B48+1</f>
        <v>6</v>
      </c>
      <c r="C58" s="161" t="s">
        <v>317</v>
      </c>
      <c r="D58" s="89" t="s">
        <v>329</v>
      </c>
      <c r="E58" s="67" t="s">
        <v>13</v>
      </c>
      <c r="F58" s="77">
        <v>1</v>
      </c>
      <c r="G58" s="77">
        <v>8</v>
      </c>
      <c r="H58" s="69" t="str">
        <f t="shared" ref="H58:H62" si="23">"1T"&amp;TEXT(F58,"00")&amp;TEXT(G58,"00")</f>
        <v>1T0108</v>
      </c>
      <c r="I58" s="69">
        <v>21</v>
      </c>
      <c r="J58" s="65" t="str">
        <f t="shared" ref="J58:J62" si="24">CONCATENATE(TEXT(F58,"00"),"-",TEXT(G58,"00"),"/",$Q$58,"-",R58)</f>
        <v>01-08/TS-06-NO</v>
      </c>
      <c r="K58" s="65" t="s">
        <v>33</v>
      </c>
      <c r="L58" s="65" t="s">
        <v>33</v>
      </c>
      <c r="M58" s="65" t="s">
        <v>33</v>
      </c>
      <c r="N58" s="65" t="s">
        <v>33</v>
      </c>
      <c r="O58" s="89" t="str">
        <f t="shared" ref="O58" si="25">_xlfn.TEXTBEFORE(D58,"(")</f>
        <v xml:space="preserve">10C x 1.0 SQ. MM
</v>
      </c>
      <c r="P58" s="65" t="str">
        <f t="shared" ref="P58:P62" si="26">CONCATENATE($Q$58,R58,"/",TEXT(F58,"00"),"-",TEXT(G58,"00"))</f>
        <v>TS-06NO/01-08</v>
      </c>
      <c r="Q58" s="161" t="str">
        <f t="shared" ref="Q58" si="27">C58</f>
        <v>TS-06</v>
      </c>
      <c r="R58" s="64" t="s">
        <v>39</v>
      </c>
      <c r="S58" s="161" t="s">
        <v>352</v>
      </c>
      <c r="T58" s="67" t="s">
        <v>343</v>
      </c>
    </row>
    <row r="59" spans="2:20" ht="30" customHeight="1" x14ac:dyDescent="0.25">
      <c r="B59" s="162"/>
      <c r="C59" s="162"/>
      <c r="D59" s="89"/>
      <c r="E59" s="67" t="s">
        <v>14</v>
      </c>
      <c r="F59" s="77">
        <v>1</v>
      </c>
      <c r="G59" s="77">
        <v>8</v>
      </c>
      <c r="H59" s="69" t="str">
        <f t="shared" si="23"/>
        <v>1T0108</v>
      </c>
      <c r="I59" s="69">
        <f>I58+2</f>
        <v>23</v>
      </c>
      <c r="J59" s="65" t="str">
        <f t="shared" si="24"/>
        <v>01-08/TS-06-NO</v>
      </c>
      <c r="K59" s="65" t="s">
        <v>33</v>
      </c>
      <c r="L59" s="65" t="s">
        <v>33</v>
      </c>
      <c r="M59" s="65" t="s">
        <v>33</v>
      </c>
      <c r="N59" s="65" t="s">
        <v>33</v>
      </c>
      <c r="O59" s="89"/>
      <c r="P59" s="65" t="str">
        <f t="shared" si="26"/>
        <v>TS-06NO/01-08</v>
      </c>
      <c r="Q59" s="162"/>
      <c r="R59" s="64" t="s">
        <v>39</v>
      </c>
      <c r="S59" s="162"/>
      <c r="T59" s="67" t="s">
        <v>344</v>
      </c>
    </row>
    <row r="60" spans="2:20" ht="30" customHeight="1" x14ac:dyDescent="0.25">
      <c r="B60" s="162"/>
      <c r="C60" s="162"/>
      <c r="D60" s="89"/>
      <c r="E60" s="67" t="s">
        <v>15</v>
      </c>
      <c r="F60" s="77">
        <v>1</v>
      </c>
      <c r="G60" s="77">
        <v>8</v>
      </c>
      <c r="H60" s="69" t="str">
        <f t="shared" si="23"/>
        <v>1T0108</v>
      </c>
      <c r="I60" s="69">
        <f>I59+2</f>
        <v>25</v>
      </c>
      <c r="J60" s="65" t="str">
        <f t="shared" si="24"/>
        <v>01-08/TS-06-NO</v>
      </c>
      <c r="K60" s="65" t="s">
        <v>33</v>
      </c>
      <c r="L60" s="65" t="s">
        <v>33</v>
      </c>
      <c r="M60" s="65" t="s">
        <v>33</v>
      </c>
      <c r="N60" s="65" t="s">
        <v>33</v>
      </c>
      <c r="O60" s="89"/>
      <c r="P60" s="65" t="str">
        <f t="shared" si="26"/>
        <v>TS-06NO/01-08</v>
      </c>
      <c r="Q60" s="162"/>
      <c r="R60" s="64" t="s">
        <v>39</v>
      </c>
      <c r="S60" s="162"/>
      <c r="T60" s="67" t="s">
        <v>345</v>
      </c>
    </row>
    <row r="61" spans="2:20" ht="30" customHeight="1" x14ac:dyDescent="0.25">
      <c r="B61" s="162"/>
      <c r="C61" s="162"/>
      <c r="D61" s="89"/>
      <c r="E61" s="67" t="s">
        <v>16</v>
      </c>
      <c r="F61" s="77">
        <v>1</v>
      </c>
      <c r="G61" s="77">
        <v>9</v>
      </c>
      <c r="H61" s="69" t="str">
        <f t="shared" si="23"/>
        <v>1T0109</v>
      </c>
      <c r="I61" s="69">
        <v>1</v>
      </c>
      <c r="J61" s="65" t="str">
        <f t="shared" si="24"/>
        <v>01-09/TS-06-NO</v>
      </c>
      <c r="K61" s="65" t="s">
        <v>33</v>
      </c>
      <c r="L61" s="65" t="s">
        <v>33</v>
      </c>
      <c r="M61" s="65" t="s">
        <v>33</v>
      </c>
      <c r="N61" s="65" t="s">
        <v>33</v>
      </c>
      <c r="O61" s="89"/>
      <c r="P61" s="65" t="str">
        <f t="shared" si="26"/>
        <v>TS-06NO/01-09</v>
      </c>
      <c r="Q61" s="162"/>
      <c r="R61" s="64" t="s">
        <v>39</v>
      </c>
      <c r="S61" s="162"/>
      <c r="T61" s="67" t="s">
        <v>346</v>
      </c>
    </row>
    <row r="62" spans="2:20" ht="30" customHeight="1" x14ac:dyDescent="0.25">
      <c r="B62" s="162"/>
      <c r="C62" s="162"/>
      <c r="D62" s="89"/>
      <c r="E62" s="67" t="s">
        <v>17</v>
      </c>
      <c r="F62" s="77">
        <v>1</v>
      </c>
      <c r="G62" s="77">
        <v>9</v>
      </c>
      <c r="H62" s="69" t="str">
        <f t="shared" si="23"/>
        <v>1T0109</v>
      </c>
      <c r="I62" s="69">
        <f>I61+1</f>
        <v>2</v>
      </c>
      <c r="J62" s="65" t="str">
        <f t="shared" si="24"/>
        <v>01-09/TS-06-C</v>
      </c>
      <c r="K62" s="65" t="s">
        <v>33</v>
      </c>
      <c r="L62" s="65" t="s">
        <v>33</v>
      </c>
      <c r="M62" s="65" t="s">
        <v>33</v>
      </c>
      <c r="N62" s="65" t="s">
        <v>33</v>
      </c>
      <c r="O62" s="89"/>
      <c r="P62" s="65" t="str">
        <f t="shared" si="26"/>
        <v>TS-06C/01-09</v>
      </c>
      <c r="Q62" s="162"/>
      <c r="R62" s="64" t="s">
        <v>40</v>
      </c>
      <c r="S62" s="162"/>
      <c r="T62" s="89" t="str">
        <f>UPPER("IN PLC SIDE, "&amp;H58&amp;": "&amp;I58+1&amp;", "&amp;H59&amp;": "&amp;I59+1&amp;", "&amp;H60&amp;": "&amp;I60+1&amp;" &amp; "&amp;H61&amp;": "&amp;I61+1&amp;" ARE ALREADY LOOPED TOGETHER")</f>
        <v>IN PLC SIDE, 1T0108: 22, 1T0108: 24, 1T0108: 26 &amp; 1T0109: 2 ARE ALREADY LOOPED TOGETHER</v>
      </c>
    </row>
    <row r="63" spans="2:20" ht="30" customHeight="1" x14ac:dyDescent="0.25">
      <c r="B63" s="162"/>
      <c r="C63" s="162"/>
      <c r="D63" s="89"/>
      <c r="E63" s="67" t="s">
        <v>18</v>
      </c>
      <c r="F63" s="77" t="s">
        <v>45</v>
      </c>
      <c r="G63" s="77" t="s">
        <v>45</v>
      </c>
      <c r="H63" s="69" t="s">
        <v>45</v>
      </c>
      <c r="I63" s="69" t="s">
        <v>45</v>
      </c>
      <c r="J63" s="65" t="s">
        <v>45</v>
      </c>
      <c r="K63" s="65" t="s">
        <v>45</v>
      </c>
      <c r="L63" s="65" t="s">
        <v>45</v>
      </c>
      <c r="M63" s="65" t="s">
        <v>45</v>
      </c>
      <c r="N63" s="65" t="s">
        <v>45</v>
      </c>
      <c r="O63" s="89"/>
      <c r="P63" s="65" t="s">
        <v>45</v>
      </c>
      <c r="Q63" s="162"/>
      <c r="R63" s="64" t="s">
        <v>45</v>
      </c>
      <c r="S63" s="162"/>
      <c r="T63" s="89"/>
    </row>
    <row r="64" spans="2:20" ht="30" customHeight="1" x14ac:dyDescent="0.25">
      <c r="B64" s="162"/>
      <c r="C64" s="162"/>
      <c r="D64" s="89"/>
      <c r="E64" s="67" t="s">
        <v>19</v>
      </c>
      <c r="F64" s="77" t="s">
        <v>45</v>
      </c>
      <c r="G64" s="77" t="s">
        <v>45</v>
      </c>
      <c r="H64" s="69" t="s">
        <v>45</v>
      </c>
      <c r="I64" s="69" t="s">
        <v>45</v>
      </c>
      <c r="J64" s="65" t="s">
        <v>45</v>
      </c>
      <c r="K64" s="65" t="s">
        <v>45</v>
      </c>
      <c r="L64" s="65" t="s">
        <v>45</v>
      </c>
      <c r="M64" s="65" t="s">
        <v>45</v>
      </c>
      <c r="N64" s="65" t="s">
        <v>45</v>
      </c>
      <c r="O64" s="89"/>
      <c r="P64" s="65" t="s">
        <v>45</v>
      </c>
      <c r="Q64" s="162"/>
      <c r="R64" s="64" t="s">
        <v>45</v>
      </c>
      <c r="S64" s="162"/>
      <c r="T64" s="89"/>
    </row>
    <row r="65" spans="2:20" ht="30" customHeight="1" x14ac:dyDescent="0.25">
      <c r="B65" s="162"/>
      <c r="C65" s="162"/>
      <c r="D65" s="89"/>
      <c r="E65" s="67" t="s">
        <v>20</v>
      </c>
      <c r="F65" s="77" t="s">
        <v>45</v>
      </c>
      <c r="G65" s="77" t="s">
        <v>45</v>
      </c>
      <c r="H65" s="69" t="s">
        <v>45</v>
      </c>
      <c r="I65" s="69" t="s">
        <v>45</v>
      </c>
      <c r="J65" s="65" t="s">
        <v>45</v>
      </c>
      <c r="K65" s="65" t="s">
        <v>45</v>
      </c>
      <c r="L65" s="65" t="s">
        <v>45</v>
      </c>
      <c r="M65" s="65" t="s">
        <v>45</v>
      </c>
      <c r="N65" s="65" t="s">
        <v>45</v>
      </c>
      <c r="O65" s="89"/>
      <c r="P65" s="65" t="s">
        <v>45</v>
      </c>
      <c r="Q65" s="162"/>
      <c r="R65" s="64" t="s">
        <v>45</v>
      </c>
      <c r="S65" s="162"/>
      <c r="T65" s="89"/>
    </row>
    <row r="66" spans="2:20" ht="30" customHeight="1" x14ac:dyDescent="0.25">
      <c r="B66" s="162"/>
      <c r="C66" s="162"/>
      <c r="D66" s="89"/>
      <c r="E66" s="67" t="s">
        <v>21</v>
      </c>
      <c r="F66" s="77" t="s">
        <v>45</v>
      </c>
      <c r="G66" s="77" t="s">
        <v>45</v>
      </c>
      <c r="H66" s="69" t="s">
        <v>45</v>
      </c>
      <c r="I66" s="69" t="s">
        <v>45</v>
      </c>
      <c r="J66" s="65" t="s">
        <v>45</v>
      </c>
      <c r="K66" s="65" t="s">
        <v>45</v>
      </c>
      <c r="L66" s="65" t="s">
        <v>45</v>
      </c>
      <c r="M66" s="65" t="s">
        <v>45</v>
      </c>
      <c r="N66" s="65" t="s">
        <v>45</v>
      </c>
      <c r="O66" s="89"/>
      <c r="P66" s="65" t="s">
        <v>45</v>
      </c>
      <c r="Q66" s="162"/>
      <c r="R66" s="64" t="s">
        <v>45</v>
      </c>
      <c r="S66" s="162"/>
      <c r="T66" s="89"/>
    </row>
    <row r="67" spans="2:20" ht="30" customHeight="1" x14ac:dyDescent="0.25">
      <c r="B67" s="162"/>
      <c r="C67" s="162"/>
      <c r="D67" s="89"/>
      <c r="E67" s="67" t="s">
        <v>30</v>
      </c>
      <c r="F67" s="77" t="s">
        <v>45</v>
      </c>
      <c r="G67" s="77" t="s">
        <v>45</v>
      </c>
      <c r="H67" s="69" t="s">
        <v>45</v>
      </c>
      <c r="I67" s="69" t="s">
        <v>45</v>
      </c>
      <c r="J67" s="65" t="s">
        <v>45</v>
      </c>
      <c r="K67" s="65" t="s">
        <v>45</v>
      </c>
      <c r="L67" s="65" t="s">
        <v>45</v>
      </c>
      <c r="M67" s="65" t="s">
        <v>45</v>
      </c>
      <c r="N67" s="65" t="s">
        <v>45</v>
      </c>
      <c r="O67" s="89"/>
      <c r="P67" s="65" t="s">
        <v>45</v>
      </c>
      <c r="Q67" s="162"/>
      <c r="R67" s="64" t="s">
        <v>45</v>
      </c>
      <c r="S67" s="162"/>
      <c r="T67" s="89"/>
    </row>
    <row r="68" spans="2:20" ht="30" customHeight="1" x14ac:dyDescent="0.25">
      <c r="B68" s="161">
        <f>B58+1</f>
        <v>7</v>
      </c>
      <c r="C68" s="161" t="s">
        <v>318</v>
      </c>
      <c r="D68" s="89" t="s">
        <v>329</v>
      </c>
      <c r="E68" s="67" t="s">
        <v>13</v>
      </c>
      <c r="F68" s="77">
        <v>1</v>
      </c>
      <c r="G68" s="77">
        <v>9</v>
      </c>
      <c r="H68" s="69" t="str">
        <f t="shared" ref="H68:H72" si="28">"1T"&amp;TEXT(F68,"00")&amp;TEXT(G68,"00")</f>
        <v>1T0109</v>
      </c>
      <c r="I68" s="69">
        <v>3</v>
      </c>
      <c r="J68" s="65" t="str">
        <f t="shared" ref="J68:J72" si="29">CONCATENATE(TEXT(F68,"00"),"-",TEXT(G68,"00"),"/",$Q$68,"-",R68)</f>
        <v>01-09/TS-07-NO</v>
      </c>
      <c r="K68" s="65" t="s">
        <v>33</v>
      </c>
      <c r="L68" s="65" t="s">
        <v>33</v>
      </c>
      <c r="M68" s="65" t="s">
        <v>33</v>
      </c>
      <c r="N68" s="65" t="s">
        <v>33</v>
      </c>
      <c r="O68" s="89" t="str">
        <f t="shared" ref="O68" si="30">_xlfn.TEXTBEFORE(D68,"(")</f>
        <v xml:space="preserve">10C x 1.0 SQ. MM
</v>
      </c>
      <c r="P68" s="65" t="str">
        <f t="shared" ref="P68:P72" si="31">CONCATENATE($Q$68,R68,"/",TEXT(F68,"00"),"-",TEXT(G68,"00"))</f>
        <v>TS-07NO/01-09</v>
      </c>
      <c r="Q68" s="161" t="str">
        <f t="shared" ref="Q68" si="32">C68</f>
        <v>TS-07</v>
      </c>
      <c r="R68" s="64" t="s">
        <v>39</v>
      </c>
      <c r="S68" s="161" t="s">
        <v>353</v>
      </c>
      <c r="T68" s="67" t="s">
        <v>343</v>
      </c>
    </row>
    <row r="69" spans="2:20" ht="30" customHeight="1" x14ac:dyDescent="0.25">
      <c r="B69" s="162"/>
      <c r="C69" s="162"/>
      <c r="D69" s="89"/>
      <c r="E69" s="67" t="s">
        <v>14</v>
      </c>
      <c r="F69" s="77">
        <v>1</v>
      </c>
      <c r="G69" s="77">
        <v>9</v>
      </c>
      <c r="H69" s="69" t="str">
        <f t="shared" si="28"/>
        <v>1T0109</v>
      </c>
      <c r="I69" s="69">
        <f>I68+2</f>
        <v>5</v>
      </c>
      <c r="J69" s="65" t="str">
        <f t="shared" si="29"/>
        <v>01-09/TS-07-NO</v>
      </c>
      <c r="K69" s="65" t="s">
        <v>33</v>
      </c>
      <c r="L69" s="65" t="s">
        <v>33</v>
      </c>
      <c r="M69" s="65" t="s">
        <v>33</v>
      </c>
      <c r="N69" s="65" t="s">
        <v>33</v>
      </c>
      <c r="O69" s="89"/>
      <c r="P69" s="65" t="str">
        <f t="shared" si="31"/>
        <v>TS-07NO/01-09</v>
      </c>
      <c r="Q69" s="162"/>
      <c r="R69" s="64" t="s">
        <v>39</v>
      </c>
      <c r="S69" s="162"/>
      <c r="T69" s="67" t="s">
        <v>344</v>
      </c>
    </row>
    <row r="70" spans="2:20" ht="30" customHeight="1" x14ac:dyDescent="0.25">
      <c r="B70" s="162"/>
      <c r="C70" s="162"/>
      <c r="D70" s="89"/>
      <c r="E70" s="67" t="s">
        <v>15</v>
      </c>
      <c r="F70" s="77">
        <v>1</v>
      </c>
      <c r="G70" s="77">
        <v>9</v>
      </c>
      <c r="H70" s="69" t="str">
        <f t="shared" si="28"/>
        <v>1T0109</v>
      </c>
      <c r="I70" s="69">
        <f>I69+2</f>
        <v>7</v>
      </c>
      <c r="J70" s="65" t="str">
        <f t="shared" si="29"/>
        <v>01-09/TS-07-NO</v>
      </c>
      <c r="K70" s="65" t="s">
        <v>33</v>
      </c>
      <c r="L70" s="65" t="s">
        <v>33</v>
      </c>
      <c r="M70" s="65" t="s">
        <v>33</v>
      </c>
      <c r="N70" s="65" t="s">
        <v>33</v>
      </c>
      <c r="O70" s="89"/>
      <c r="P70" s="65" t="str">
        <f t="shared" si="31"/>
        <v>TS-07NO/01-09</v>
      </c>
      <c r="Q70" s="162"/>
      <c r="R70" s="64" t="s">
        <v>39</v>
      </c>
      <c r="S70" s="162"/>
      <c r="T70" s="67" t="s">
        <v>345</v>
      </c>
    </row>
    <row r="71" spans="2:20" ht="30" customHeight="1" x14ac:dyDescent="0.25">
      <c r="B71" s="162"/>
      <c r="C71" s="162"/>
      <c r="D71" s="89"/>
      <c r="E71" s="67" t="s">
        <v>16</v>
      </c>
      <c r="F71" s="77">
        <v>1</v>
      </c>
      <c r="G71" s="77">
        <v>9</v>
      </c>
      <c r="H71" s="69" t="str">
        <f t="shared" si="28"/>
        <v>1T0109</v>
      </c>
      <c r="I71" s="69">
        <f>I70+2</f>
        <v>9</v>
      </c>
      <c r="J71" s="65" t="str">
        <f t="shared" si="29"/>
        <v>01-09/TS-07-NO</v>
      </c>
      <c r="K71" s="65" t="s">
        <v>33</v>
      </c>
      <c r="L71" s="65" t="s">
        <v>33</v>
      </c>
      <c r="M71" s="65" t="s">
        <v>33</v>
      </c>
      <c r="N71" s="65" t="s">
        <v>33</v>
      </c>
      <c r="O71" s="89"/>
      <c r="P71" s="65" t="str">
        <f t="shared" si="31"/>
        <v>TS-07NO/01-09</v>
      </c>
      <c r="Q71" s="162"/>
      <c r="R71" s="64" t="s">
        <v>39</v>
      </c>
      <c r="S71" s="162"/>
      <c r="T71" s="67" t="s">
        <v>346</v>
      </c>
    </row>
    <row r="72" spans="2:20" ht="30" customHeight="1" x14ac:dyDescent="0.25">
      <c r="B72" s="162"/>
      <c r="C72" s="162"/>
      <c r="D72" s="89"/>
      <c r="E72" s="67" t="s">
        <v>17</v>
      </c>
      <c r="F72" s="77">
        <v>1</v>
      </c>
      <c r="G72" s="77">
        <v>9</v>
      </c>
      <c r="H72" s="69" t="str">
        <f t="shared" si="28"/>
        <v>1T0109</v>
      </c>
      <c r="I72" s="69">
        <f>I71+1</f>
        <v>10</v>
      </c>
      <c r="J72" s="65" t="str">
        <f t="shared" si="29"/>
        <v>01-09/TS-07-C</v>
      </c>
      <c r="K72" s="65" t="s">
        <v>33</v>
      </c>
      <c r="L72" s="65" t="s">
        <v>33</v>
      </c>
      <c r="M72" s="65" t="s">
        <v>33</v>
      </c>
      <c r="N72" s="65" t="s">
        <v>33</v>
      </c>
      <c r="O72" s="89"/>
      <c r="P72" s="65" t="str">
        <f t="shared" si="31"/>
        <v>TS-07C/01-09</v>
      </c>
      <c r="Q72" s="162"/>
      <c r="R72" s="64" t="s">
        <v>40</v>
      </c>
      <c r="S72" s="162"/>
      <c r="T72" s="89" t="str">
        <f>UPPER("IN PLC SIDE, "&amp;H68&amp;": "&amp;I68+1&amp;", "&amp;H69&amp;": "&amp;I69+1&amp;", "&amp;H70&amp;": "&amp;I70+1&amp;" &amp; "&amp;H71&amp;": "&amp;I71+1&amp;" ARE ALREADY LOOPED TOGETHER")</f>
        <v>IN PLC SIDE, 1T0109: 4, 1T0109: 6, 1T0109: 8 &amp; 1T0109: 10 ARE ALREADY LOOPED TOGETHER</v>
      </c>
    </row>
    <row r="73" spans="2:20" ht="30" customHeight="1" x14ac:dyDescent="0.25">
      <c r="B73" s="162"/>
      <c r="C73" s="162"/>
      <c r="D73" s="89"/>
      <c r="E73" s="67" t="s">
        <v>18</v>
      </c>
      <c r="F73" s="77" t="s">
        <v>45</v>
      </c>
      <c r="G73" s="77" t="s">
        <v>45</v>
      </c>
      <c r="H73" s="69" t="s">
        <v>45</v>
      </c>
      <c r="I73" s="69" t="s">
        <v>45</v>
      </c>
      <c r="J73" s="65" t="s">
        <v>45</v>
      </c>
      <c r="K73" s="65" t="s">
        <v>45</v>
      </c>
      <c r="L73" s="65" t="s">
        <v>45</v>
      </c>
      <c r="M73" s="65" t="s">
        <v>45</v>
      </c>
      <c r="N73" s="65" t="s">
        <v>45</v>
      </c>
      <c r="O73" s="89"/>
      <c r="P73" s="65" t="s">
        <v>45</v>
      </c>
      <c r="Q73" s="162"/>
      <c r="R73" s="64" t="s">
        <v>45</v>
      </c>
      <c r="S73" s="162"/>
      <c r="T73" s="89"/>
    </row>
    <row r="74" spans="2:20" ht="30" customHeight="1" x14ac:dyDescent="0.25">
      <c r="B74" s="162"/>
      <c r="C74" s="162"/>
      <c r="D74" s="89"/>
      <c r="E74" s="67" t="s">
        <v>19</v>
      </c>
      <c r="F74" s="77" t="s">
        <v>45</v>
      </c>
      <c r="G74" s="77" t="s">
        <v>45</v>
      </c>
      <c r="H74" s="69" t="s">
        <v>45</v>
      </c>
      <c r="I74" s="69" t="s">
        <v>45</v>
      </c>
      <c r="J74" s="65" t="s">
        <v>45</v>
      </c>
      <c r="K74" s="65" t="s">
        <v>45</v>
      </c>
      <c r="L74" s="65" t="s">
        <v>45</v>
      </c>
      <c r="M74" s="65" t="s">
        <v>45</v>
      </c>
      <c r="N74" s="65" t="s">
        <v>45</v>
      </c>
      <c r="O74" s="89"/>
      <c r="P74" s="65" t="s">
        <v>45</v>
      </c>
      <c r="Q74" s="162"/>
      <c r="R74" s="64" t="s">
        <v>45</v>
      </c>
      <c r="S74" s="162"/>
      <c r="T74" s="89"/>
    </row>
    <row r="75" spans="2:20" ht="30" customHeight="1" x14ac:dyDescent="0.25">
      <c r="B75" s="162"/>
      <c r="C75" s="162"/>
      <c r="D75" s="89"/>
      <c r="E75" s="67" t="s">
        <v>20</v>
      </c>
      <c r="F75" s="77" t="s">
        <v>45</v>
      </c>
      <c r="G75" s="77" t="s">
        <v>45</v>
      </c>
      <c r="H75" s="69" t="s">
        <v>45</v>
      </c>
      <c r="I75" s="69" t="s">
        <v>45</v>
      </c>
      <c r="J75" s="65" t="s">
        <v>45</v>
      </c>
      <c r="K75" s="65" t="s">
        <v>45</v>
      </c>
      <c r="L75" s="65" t="s">
        <v>45</v>
      </c>
      <c r="M75" s="65" t="s">
        <v>45</v>
      </c>
      <c r="N75" s="65" t="s">
        <v>45</v>
      </c>
      <c r="O75" s="89"/>
      <c r="P75" s="65" t="s">
        <v>45</v>
      </c>
      <c r="Q75" s="162"/>
      <c r="R75" s="64" t="s">
        <v>45</v>
      </c>
      <c r="S75" s="162"/>
      <c r="T75" s="89"/>
    </row>
    <row r="76" spans="2:20" ht="30" customHeight="1" x14ac:dyDescent="0.25">
      <c r="B76" s="162"/>
      <c r="C76" s="162"/>
      <c r="D76" s="89"/>
      <c r="E76" s="67" t="s">
        <v>21</v>
      </c>
      <c r="F76" s="77" t="s">
        <v>45</v>
      </c>
      <c r="G76" s="77" t="s">
        <v>45</v>
      </c>
      <c r="H76" s="69" t="s">
        <v>45</v>
      </c>
      <c r="I76" s="69" t="s">
        <v>45</v>
      </c>
      <c r="J76" s="65" t="s">
        <v>45</v>
      </c>
      <c r="K76" s="65" t="s">
        <v>45</v>
      </c>
      <c r="L76" s="65" t="s">
        <v>45</v>
      </c>
      <c r="M76" s="65" t="s">
        <v>45</v>
      </c>
      <c r="N76" s="65" t="s">
        <v>45</v>
      </c>
      <c r="O76" s="89"/>
      <c r="P76" s="65" t="s">
        <v>45</v>
      </c>
      <c r="Q76" s="162"/>
      <c r="R76" s="64" t="s">
        <v>45</v>
      </c>
      <c r="S76" s="162"/>
      <c r="T76" s="89"/>
    </row>
    <row r="77" spans="2:20" ht="30" customHeight="1" x14ac:dyDescent="0.25">
      <c r="B77" s="162"/>
      <c r="C77" s="162"/>
      <c r="D77" s="89"/>
      <c r="E77" s="67" t="s">
        <v>30</v>
      </c>
      <c r="F77" s="77" t="s">
        <v>45</v>
      </c>
      <c r="G77" s="77" t="s">
        <v>45</v>
      </c>
      <c r="H77" s="69" t="s">
        <v>45</v>
      </c>
      <c r="I77" s="69" t="s">
        <v>45</v>
      </c>
      <c r="J77" s="65" t="s">
        <v>45</v>
      </c>
      <c r="K77" s="65" t="s">
        <v>45</v>
      </c>
      <c r="L77" s="65" t="s">
        <v>45</v>
      </c>
      <c r="M77" s="65" t="s">
        <v>45</v>
      </c>
      <c r="N77" s="65" t="s">
        <v>45</v>
      </c>
      <c r="O77" s="89"/>
      <c r="P77" s="65" t="s">
        <v>45</v>
      </c>
      <c r="Q77" s="162"/>
      <c r="R77" s="64" t="s">
        <v>45</v>
      </c>
      <c r="S77" s="162"/>
      <c r="T77" s="89"/>
    </row>
    <row r="78" spans="2:20" ht="30" customHeight="1" x14ac:dyDescent="0.25">
      <c r="B78" s="161">
        <f>B68+1</f>
        <v>8</v>
      </c>
      <c r="C78" s="161" t="s">
        <v>319</v>
      </c>
      <c r="D78" s="89" t="s">
        <v>329</v>
      </c>
      <c r="E78" s="67" t="s">
        <v>13</v>
      </c>
      <c r="F78" s="77">
        <v>1</v>
      </c>
      <c r="G78" s="77">
        <v>9</v>
      </c>
      <c r="H78" s="69" t="str">
        <f t="shared" ref="H78:H82" si="33">"1T"&amp;TEXT(F78,"00")&amp;TEXT(G78,"00")</f>
        <v>1T0109</v>
      </c>
      <c r="I78" s="69">
        <v>11</v>
      </c>
      <c r="J78" s="65" t="str">
        <f t="shared" ref="J78:J82" si="34">CONCATENATE(TEXT(F78,"00"),"-",TEXT(G78,"00"),"/",$Q$78,"-",R78)</f>
        <v>01-09/TS-08-NO</v>
      </c>
      <c r="K78" s="65" t="s">
        <v>33</v>
      </c>
      <c r="L78" s="65" t="s">
        <v>33</v>
      </c>
      <c r="M78" s="65" t="s">
        <v>33</v>
      </c>
      <c r="N78" s="65" t="s">
        <v>33</v>
      </c>
      <c r="O78" s="89" t="str">
        <f t="shared" ref="O78" si="35">_xlfn.TEXTBEFORE(D78,"(")</f>
        <v xml:space="preserve">10C x 1.0 SQ. MM
</v>
      </c>
      <c r="P78" s="65" t="str">
        <f t="shared" ref="P78:P82" si="36">CONCATENATE($Q$78,R78,"/",TEXT(F78,"00"),"-",TEXT(G78,"00"))</f>
        <v>TS-08NO/01-09</v>
      </c>
      <c r="Q78" s="161" t="str">
        <f t="shared" ref="Q78" si="37">C78</f>
        <v>TS-08</v>
      </c>
      <c r="R78" s="64" t="s">
        <v>39</v>
      </c>
      <c r="S78" s="161" t="s">
        <v>354</v>
      </c>
      <c r="T78" s="67" t="s">
        <v>343</v>
      </c>
    </row>
    <row r="79" spans="2:20" ht="30" customHeight="1" x14ac:dyDescent="0.25">
      <c r="B79" s="162"/>
      <c r="C79" s="162"/>
      <c r="D79" s="89"/>
      <c r="E79" s="67" t="s">
        <v>14</v>
      </c>
      <c r="F79" s="77">
        <v>1</v>
      </c>
      <c r="G79" s="77">
        <v>9</v>
      </c>
      <c r="H79" s="69" t="str">
        <f t="shared" si="33"/>
        <v>1T0109</v>
      </c>
      <c r="I79" s="69">
        <f>I78+2</f>
        <v>13</v>
      </c>
      <c r="J79" s="65" t="str">
        <f t="shared" si="34"/>
        <v>01-09/TS-08-NO</v>
      </c>
      <c r="K79" s="65" t="s">
        <v>33</v>
      </c>
      <c r="L79" s="65" t="s">
        <v>33</v>
      </c>
      <c r="M79" s="65" t="s">
        <v>33</v>
      </c>
      <c r="N79" s="65" t="s">
        <v>33</v>
      </c>
      <c r="O79" s="89"/>
      <c r="P79" s="65" t="str">
        <f t="shared" si="36"/>
        <v>TS-08NO/01-09</v>
      </c>
      <c r="Q79" s="162"/>
      <c r="R79" s="64" t="s">
        <v>39</v>
      </c>
      <c r="S79" s="162"/>
      <c r="T79" s="67" t="s">
        <v>344</v>
      </c>
    </row>
    <row r="80" spans="2:20" ht="30" customHeight="1" x14ac:dyDescent="0.25">
      <c r="B80" s="162"/>
      <c r="C80" s="162"/>
      <c r="D80" s="89"/>
      <c r="E80" s="67" t="s">
        <v>15</v>
      </c>
      <c r="F80" s="77">
        <v>1</v>
      </c>
      <c r="G80" s="77">
        <v>9</v>
      </c>
      <c r="H80" s="69" t="str">
        <f t="shared" si="33"/>
        <v>1T0109</v>
      </c>
      <c r="I80" s="69">
        <f>I79+2</f>
        <v>15</v>
      </c>
      <c r="J80" s="65" t="str">
        <f t="shared" si="34"/>
        <v>01-09/TS-08-NO</v>
      </c>
      <c r="K80" s="65" t="s">
        <v>33</v>
      </c>
      <c r="L80" s="65" t="s">
        <v>33</v>
      </c>
      <c r="M80" s="65" t="s">
        <v>33</v>
      </c>
      <c r="N80" s="65" t="s">
        <v>33</v>
      </c>
      <c r="O80" s="89"/>
      <c r="P80" s="65" t="str">
        <f t="shared" si="36"/>
        <v>TS-08NO/01-09</v>
      </c>
      <c r="Q80" s="162"/>
      <c r="R80" s="64" t="s">
        <v>39</v>
      </c>
      <c r="S80" s="162"/>
      <c r="T80" s="67" t="s">
        <v>345</v>
      </c>
    </row>
    <row r="81" spans="2:20" ht="30" customHeight="1" x14ac:dyDescent="0.25">
      <c r="B81" s="162"/>
      <c r="C81" s="162"/>
      <c r="D81" s="89"/>
      <c r="E81" s="67" t="s">
        <v>16</v>
      </c>
      <c r="F81" s="77">
        <v>1</v>
      </c>
      <c r="G81" s="77">
        <v>9</v>
      </c>
      <c r="H81" s="69" t="str">
        <f t="shared" si="33"/>
        <v>1T0109</v>
      </c>
      <c r="I81" s="69">
        <f>I80+2</f>
        <v>17</v>
      </c>
      <c r="J81" s="65" t="str">
        <f t="shared" si="34"/>
        <v>01-09/TS-08-NO</v>
      </c>
      <c r="K81" s="65" t="s">
        <v>33</v>
      </c>
      <c r="L81" s="65" t="s">
        <v>33</v>
      </c>
      <c r="M81" s="65" t="s">
        <v>33</v>
      </c>
      <c r="N81" s="65" t="s">
        <v>33</v>
      </c>
      <c r="O81" s="89"/>
      <c r="P81" s="65" t="str">
        <f t="shared" si="36"/>
        <v>TS-08NO/01-09</v>
      </c>
      <c r="Q81" s="162"/>
      <c r="R81" s="64" t="s">
        <v>39</v>
      </c>
      <c r="S81" s="162"/>
      <c r="T81" s="67" t="s">
        <v>346</v>
      </c>
    </row>
    <row r="82" spans="2:20" ht="30" customHeight="1" x14ac:dyDescent="0.25">
      <c r="B82" s="162"/>
      <c r="C82" s="162"/>
      <c r="D82" s="89"/>
      <c r="E82" s="67" t="s">
        <v>17</v>
      </c>
      <c r="F82" s="77">
        <v>1</v>
      </c>
      <c r="G82" s="77">
        <v>9</v>
      </c>
      <c r="H82" s="69" t="str">
        <f t="shared" si="33"/>
        <v>1T0109</v>
      </c>
      <c r="I82" s="69">
        <f>I81+1</f>
        <v>18</v>
      </c>
      <c r="J82" s="65" t="str">
        <f t="shared" si="34"/>
        <v>01-09/TS-08-C</v>
      </c>
      <c r="K82" s="65" t="s">
        <v>33</v>
      </c>
      <c r="L82" s="65" t="s">
        <v>33</v>
      </c>
      <c r="M82" s="65" t="s">
        <v>33</v>
      </c>
      <c r="N82" s="65" t="s">
        <v>33</v>
      </c>
      <c r="O82" s="89"/>
      <c r="P82" s="65" t="str">
        <f t="shared" si="36"/>
        <v>TS-08C/01-09</v>
      </c>
      <c r="Q82" s="162"/>
      <c r="R82" s="64" t="s">
        <v>40</v>
      </c>
      <c r="S82" s="162"/>
      <c r="T82" s="89" t="str">
        <f>UPPER("IN PLC SIDE, "&amp;H78&amp;": "&amp;I78+1&amp;", "&amp;H79&amp;": "&amp;I79+1&amp;", "&amp;H80&amp;": "&amp;I80+1&amp;" &amp; "&amp;H81&amp;": "&amp;I81+1&amp;" ARE ALREADY LOOPED TOGETHER")</f>
        <v>IN PLC SIDE, 1T0109: 12, 1T0109: 14, 1T0109: 16 &amp; 1T0109: 18 ARE ALREADY LOOPED TOGETHER</v>
      </c>
    </row>
    <row r="83" spans="2:20" ht="30" customHeight="1" x14ac:dyDescent="0.25">
      <c r="B83" s="162"/>
      <c r="C83" s="162"/>
      <c r="D83" s="89"/>
      <c r="E83" s="67" t="s">
        <v>18</v>
      </c>
      <c r="F83" s="77" t="s">
        <v>45</v>
      </c>
      <c r="G83" s="77" t="s">
        <v>45</v>
      </c>
      <c r="H83" s="69" t="s">
        <v>45</v>
      </c>
      <c r="I83" s="69" t="s">
        <v>45</v>
      </c>
      <c r="J83" s="65" t="s">
        <v>45</v>
      </c>
      <c r="K83" s="65" t="s">
        <v>45</v>
      </c>
      <c r="L83" s="65" t="s">
        <v>45</v>
      </c>
      <c r="M83" s="65" t="s">
        <v>45</v>
      </c>
      <c r="N83" s="65" t="s">
        <v>45</v>
      </c>
      <c r="O83" s="89"/>
      <c r="P83" s="65" t="s">
        <v>45</v>
      </c>
      <c r="Q83" s="162"/>
      <c r="R83" s="64" t="s">
        <v>45</v>
      </c>
      <c r="S83" s="162"/>
      <c r="T83" s="89"/>
    </row>
    <row r="84" spans="2:20" ht="30" customHeight="1" x14ac:dyDescent="0.25">
      <c r="B84" s="162"/>
      <c r="C84" s="162"/>
      <c r="D84" s="89"/>
      <c r="E84" s="67" t="s">
        <v>19</v>
      </c>
      <c r="F84" s="77" t="s">
        <v>45</v>
      </c>
      <c r="G84" s="77" t="s">
        <v>45</v>
      </c>
      <c r="H84" s="69" t="s">
        <v>45</v>
      </c>
      <c r="I84" s="69" t="s">
        <v>45</v>
      </c>
      <c r="J84" s="65" t="s">
        <v>45</v>
      </c>
      <c r="K84" s="65" t="s">
        <v>45</v>
      </c>
      <c r="L84" s="65" t="s">
        <v>45</v>
      </c>
      <c r="M84" s="65" t="s">
        <v>45</v>
      </c>
      <c r="N84" s="65" t="s">
        <v>45</v>
      </c>
      <c r="O84" s="89"/>
      <c r="P84" s="65" t="s">
        <v>45</v>
      </c>
      <c r="Q84" s="162"/>
      <c r="R84" s="64" t="s">
        <v>45</v>
      </c>
      <c r="S84" s="162"/>
      <c r="T84" s="89"/>
    </row>
    <row r="85" spans="2:20" ht="30" customHeight="1" x14ac:dyDescent="0.25">
      <c r="B85" s="162"/>
      <c r="C85" s="162"/>
      <c r="D85" s="89"/>
      <c r="E85" s="67" t="s">
        <v>20</v>
      </c>
      <c r="F85" s="77" t="s">
        <v>45</v>
      </c>
      <c r="G85" s="77" t="s">
        <v>45</v>
      </c>
      <c r="H85" s="69" t="s">
        <v>45</v>
      </c>
      <c r="I85" s="69" t="s">
        <v>45</v>
      </c>
      <c r="J85" s="65" t="s">
        <v>45</v>
      </c>
      <c r="K85" s="65" t="s">
        <v>45</v>
      </c>
      <c r="L85" s="65" t="s">
        <v>45</v>
      </c>
      <c r="M85" s="65" t="s">
        <v>45</v>
      </c>
      <c r="N85" s="65" t="s">
        <v>45</v>
      </c>
      <c r="O85" s="89"/>
      <c r="P85" s="65" t="s">
        <v>45</v>
      </c>
      <c r="Q85" s="162"/>
      <c r="R85" s="64" t="s">
        <v>45</v>
      </c>
      <c r="S85" s="162"/>
      <c r="T85" s="89"/>
    </row>
    <row r="86" spans="2:20" ht="30" customHeight="1" x14ac:dyDescent="0.25">
      <c r="B86" s="162"/>
      <c r="C86" s="162"/>
      <c r="D86" s="89"/>
      <c r="E86" s="67" t="s">
        <v>21</v>
      </c>
      <c r="F86" s="77" t="s">
        <v>45</v>
      </c>
      <c r="G86" s="77" t="s">
        <v>45</v>
      </c>
      <c r="H86" s="69" t="s">
        <v>45</v>
      </c>
      <c r="I86" s="69" t="s">
        <v>45</v>
      </c>
      <c r="J86" s="65" t="s">
        <v>45</v>
      </c>
      <c r="K86" s="65" t="s">
        <v>45</v>
      </c>
      <c r="L86" s="65" t="s">
        <v>45</v>
      </c>
      <c r="M86" s="65" t="s">
        <v>45</v>
      </c>
      <c r="N86" s="65" t="s">
        <v>45</v>
      </c>
      <c r="O86" s="89"/>
      <c r="P86" s="65" t="s">
        <v>45</v>
      </c>
      <c r="Q86" s="162"/>
      <c r="R86" s="64" t="s">
        <v>45</v>
      </c>
      <c r="S86" s="162"/>
      <c r="T86" s="89"/>
    </row>
    <row r="87" spans="2:20" ht="30" customHeight="1" x14ac:dyDescent="0.25">
      <c r="B87" s="162"/>
      <c r="C87" s="162"/>
      <c r="D87" s="89"/>
      <c r="E87" s="67" t="s">
        <v>30</v>
      </c>
      <c r="F87" s="77" t="s">
        <v>45</v>
      </c>
      <c r="G87" s="77" t="s">
        <v>45</v>
      </c>
      <c r="H87" s="69" t="s">
        <v>45</v>
      </c>
      <c r="I87" s="69" t="s">
        <v>45</v>
      </c>
      <c r="J87" s="65" t="s">
        <v>45</v>
      </c>
      <c r="K87" s="65" t="s">
        <v>45</v>
      </c>
      <c r="L87" s="65" t="s">
        <v>45</v>
      </c>
      <c r="M87" s="65" t="s">
        <v>45</v>
      </c>
      <c r="N87" s="65" t="s">
        <v>45</v>
      </c>
      <c r="O87" s="89"/>
      <c r="P87" s="65" t="s">
        <v>45</v>
      </c>
      <c r="Q87" s="162"/>
      <c r="R87" s="64" t="s">
        <v>45</v>
      </c>
      <c r="S87" s="162"/>
      <c r="T87" s="89"/>
    </row>
    <row r="88" spans="2:20" ht="30" customHeight="1" x14ac:dyDescent="0.25">
      <c r="B88" s="161">
        <f>B78+1</f>
        <v>9</v>
      </c>
      <c r="C88" s="161" t="s">
        <v>320</v>
      </c>
      <c r="D88" s="89" t="s">
        <v>329</v>
      </c>
      <c r="E88" s="67" t="s">
        <v>13</v>
      </c>
      <c r="F88" s="77">
        <v>1</v>
      </c>
      <c r="G88" s="77">
        <v>9</v>
      </c>
      <c r="H88" s="69" t="str">
        <f t="shared" ref="H88:H92" si="38">"1T"&amp;TEXT(F88,"00")&amp;TEXT(G88,"00")</f>
        <v>1T0109</v>
      </c>
      <c r="I88" s="69">
        <v>19</v>
      </c>
      <c r="J88" s="65" t="str">
        <f t="shared" ref="J88:J92" si="39">CONCATENATE(TEXT(F88,"00"),"-",TEXT(G88,"00"),"/",$Q$88,"-",R88)</f>
        <v>01-09/TS-09-NO</v>
      </c>
      <c r="K88" s="65" t="s">
        <v>33</v>
      </c>
      <c r="L88" s="65" t="s">
        <v>33</v>
      </c>
      <c r="M88" s="65" t="s">
        <v>33</v>
      </c>
      <c r="N88" s="65" t="s">
        <v>33</v>
      </c>
      <c r="O88" s="89" t="str">
        <f t="shared" ref="O88" si="40">_xlfn.TEXTBEFORE(D88,"(")</f>
        <v xml:space="preserve">10C x 1.0 SQ. MM
</v>
      </c>
      <c r="P88" s="65" t="str">
        <f>CONCATENATE($Q$88,R88,"/",TEXT(F88,"00"),"-",TEXT(G88,"00"))</f>
        <v>TS-09NO/01-09</v>
      </c>
      <c r="Q88" s="161" t="str">
        <f t="shared" ref="Q88" si="41">C88</f>
        <v>TS-09</v>
      </c>
      <c r="R88" s="64" t="s">
        <v>39</v>
      </c>
      <c r="S88" s="161" t="s">
        <v>355</v>
      </c>
      <c r="T88" s="67" t="s">
        <v>343</v>
      </c>
    </row>
    <row r="89" spans="2:20" ht="30" customHeight="1" x14ac:dyDescent="0.25">
      <c r="B89" s="162"/>
      <c r="C89" s="162"/>
      <c r="D89" s="89"/>
      <c r="E89" s="67" t="s">
        <v>14</v>
      </c>
      <c r="F89" s="77">
        <v>1</v>
      </c>
      <c r="G89" s="77">
        <v>9</v>
      </c>
      <c r="H89" s="69" t="str">
        <f t="shared" si="38"/>
        <v>1T0109</v>
      </c>
      <c r="I89" s="69">
        <f>I88+2</f>
        <v>21</v>
      </c>
      <c r="J89" s="65" t="str">
        <f t="shared" si="39"/>
        <v>01-09/TS-09-NO</v>
      </c>
      <c r="K89" s="65" t="s">
        <v>33</v>
      </c>
      <c r="L89" s="65" t="s">
        <v>33</v>
      </c>
      <c r="M89" s="65" t="s">
        <v>33</v>
      </c>
      <c r="N89" s="65" t="s">
        <v>33</v>
      </c>
      <c r="O89" s="89"/>
      <c r="P89" s="65" t="str">
        <f t="shared" ref="P89:P92" si="42">CONCATENATE($Q$88,R89,"/",TEXT(F89,"00"),"-",TEXT(G89,"00"))</f>
        <v>TS-09NO/01-09</v>
      </c>
      <c r="Q89" s="162"/>
      <c r="R89" s="64" t="s">
        <v>39</v>
      </c>
      <c r="S89" s="162"/>
      <c r="T89" s="67" t="s">
        <v>344</v>
      </c>
    </row>
    <row r="90" spans="2:20" ht="30" customHeight="1" x14ac:dyDescent="0.25">
      <c r="B90" s="162"/>
      <c r="C90" s="162"/>
      <c r="D90" s="89"/>
      <c r="E90" s="67" t="s">
        <v>15</v>
      </c>
      <c r="F90" s="77">
        <v>1</v>
      </c>
      <c r="G90" s="77">
        <v>9</v>
      </c>
      <c r="H90" s="69" t="str">
        <f t="shared" si="38"/>
        <v>1T0109</v>
      </c>
      <c r="I90" s="69">
        <f>I89+2</f>
        <v>23</v>
      </c>
      <c r="J90" s="65" t="str">
        <f t="shared" si="39"/>
        <v>01-09/TS-09-NO</v>
      </c>
      <c r="K90" s="65" t="s">
        <v>33</v>
      </c>
      <c r="L90" s="65" t="s">
        <v>33</v>
      </c>
      <c r="M90" s="65" t="s">
        <v>33</v>
      </c>
      <c r="N90" s="65" t="s">
        <v>33</v>
      </c>
      <c r="O90" s="89"/>
      <c r="P90" s="65" t="str">
        <f t="shared" si="42"/>
        <v>TS-09NO/01-09</v>
      </c>
      <c r="Q90" s="162"/>
      <c r="R90" s="64" t="s">
        <v>39</v>
      </c>
      <c r="S90" s="162"/>
      <c r="T90" s="67" t="s">
        <v>345</v>
      </c>
    </row>
    <row r="91" spans="2:20" ht="30" customHeight="1" x14ac:dyDescent="0.25">
      <c r="B91" s="162"/>
      <c r="C91" s="162"/>
      <c r="D91" s="89"/>
      <c r="E91" s="67" t="s">
        <v>16</v>
      </c>
      <c r="F91" s="77">
        <v>1</v>
      </c>
      <c r="G91" s="77">
        <v>9</v>
      </c>
      <c r="H91" s="69" t="str">
        <f t="shared" si="38"/>
        <v>1T0109</v>
      </c>
      <c r="I91" s="69">
        <f>I90+2</f>
        <v>25</v>
      </c>
      <c r="J91" s="65" t="str">
        <f t="shared" si="39"/>
        <v>01-09/TS-09-NO</v>
      </c>
      <c r="K91" s="65" t="s">
        <v>33</v>
      </c>
      <c r="L91" s="65" t="s">
        <v>33</v>
      </c>
      <c r="M91" s="65" t="s">
        <v>33</v>
      </c>
      <c r="N91" s="65" t="s">
        <v>33</v>
      </c>
      <c r="O91" s="89"/>
      <c r="P91" s="65" t="str">
        <f t="shared" si="42"/>
        <v>TS-09NO/01-09</v>
      </c>
      <c r="Q91" s="162"/>
      <c r="R91" s="64" t="s">
        <v>39</v>
      </c>
      <c r="S91" s="162"/>
      <c r="T91" s="67" t="s">
        <v>346</v>
      </c>
    </row>
    <row r="92" spans="2:20" ht="30" customHeight="1" x14ac:dyDescent="0.25">
      <c r="B92" s="162"/>
      <c r="C92" s="162"/>
      <c r="D92" s="89"/>
      <c r="E92" s="67" t="s">
        <v>17</v>
      </c>
      <c r="F92" s="77">
        <v>1</v>
      </c>
      <c r="G92" s="77">
        <v>9</v>
      </c>
      <c r="H92" s="69" t="str">
        <f t="shared" si="38"/>
        <v>1T0109</v>
      </c>
      <c r="I92" s="69">
        <f>I91+1</f>
        <v>26</v>
      </c>
      <c r="J92" s="65" t="str">
        <f t="shared" si="39"/>
        <v>01-09/TS-09-C</v>
      </c>
      <c r="K92" s="65" t="s">
        <v>33</v>
      </c>
      <c r="L92" s="65" t="s">
        <v>33</v>
      </c>
      <c r="M92" s="65" t="s">
        <v>33</v>
      </c>
      <c r="N92" s="65" t="s">
        <v>33</v>
      </c>
      <c r="O92" s="89"/>
      <c r="P92" s="65" t="str">
        <f t="shared" si="42"/>
        <v>TS-09C/01-09</v>
      </c>
      <c r="Q92" s="162"/>
      <c r="R92" s="64" t="s">
        <v>40</v>
      </c>
      <c r="S92" s="162"/>
      <c r="T92" s="89" t="str">
        <f>UPPER("IN PLC SIDE, "&amp;H88&amp;": "&amp;I88+1&amp;", "&amp;H89&amp;": "&amp;I89+1&amp;", "&amp;H90&amp;": "&amp;I90+1&amp;" &amp; "&amp;H91&amp;": "&amp;I91+1&amp;" ARE ALREADY LOOPED TOGETHER")</f>
        <v>IN PLC SIDE, 1T0109: 20, 1T0109: 22, 1T0109: 24 &amp; 1T0109: 26 ARE ALREADY LOOPED TOGETHER</v>
      </c>
    </row>
    <row r="93" spans="2:20" ht="30" customHeight="1" x14ac:dyDescent="0.25">
      <c r="B93" s="162"/>
      <c r="C93" s="162"/>
      <c r="D93" s="89"/>
      <c r="E93" s="67" t="s">
        <v>18</v>
      </c>
      <c r="F93" s="77" t="s">
        <v>45</v>
      </c>
      <c r="G93" s="77" t="s">
        <v>45</v>
      </c>
      <c r="H93" s="69" t="s">
        <v>45</v>
      </c>
      <c r="I93" s="69" t="s">
        <v>45</v>
      </c>
      <c r="J93" s="65" t="s">
        <v>45</v>
      </c>
      <c r="K93" s="65" t="s">
        <v>45</v>
      </c>
      <c r="L93" s="65" t="s">
        <v>45</v>
      </c>
      <c r="M93" s="65" t="s">
        <v>45</v>
      </c>
      <c r="N93" s="65" t="s">
        <v>45</v>
      </c>
      <c r="O93" s="89"/>
      <c r="P93" s="65" t="s">
        <v>45</v>
      </c>
      <c r="Q93" s="162"/>
      <c r="R93" s="64" t="s">
        <v>45</v>
      </c>
      <c r="S93" s="162"/>
      <c r="T93" s="89"/>
    </row>
    <row r="94" spans="2:20" ht="30" customHeight="1" x14ac:dyDescent="0.25">
      <c r="B94" s="162"/>
      <c r="C94" s="162"/>
      <c r="D94" s="89"/>
      <c r="E94" s="67" t="s">
        <v>19</v>
      </c>
      <c r="F94" s="77" t="s">
        <v>45</v>
      </c>
      <c r="G94" s="77" t="s">
        <v>45</v>
      </c>
      <c r="H94" s="69" t="s">
        <v>45</v>
      </c>
      <c r="I94" s="69" t="s">
        <v>45</v>
      </c>
      <c r="J94" s="65" t="s">
        <v>45</v>
      </c>
      <c r="K94" s="65" t="s">
        <v>45</v>
      </c>
      <c r="L94" s="65" t="s">
        <v>45</v>
      </c>
      <c r="M94" s="65" t="s">
        <v>45</v>
      </c>
      <c r="N94" s="65" t="s">
        <v>45</v>
      </c>
      <c r="O94" s="89"/>
      <c r="P94" s="65" t="s">
        <v>45</v>
      </c>
      <c r="Q94" s="162"/>
      <c r="R94" s="64" t="s">
        <v>45</v>
      </c>
      <c r="S94" s="162"/>
      <c r="T94" s="89"/>
    </row>
    <row r="95" spans="2:20" ht="30" customHeight="1" x14ac:dyDescent="0.25">
      <c r="B95" s="162"/>
      <c r="C95" s="162"/>
      <c r="D95" s="89"/>
      <c r="E95" s="67" t="s">
        <v>20</v>
      </c>
      <c r="F95" s="77" t="s">
        <v>45</v>
      </c>
      <c r="G95" s="77" t="s">
        <v>45</v>
      </c>
      <c r="H95" s="69" t="s">
        <v>45</v>
      </c>
      <c r="I95" s="69" t="s">
        <v>45</v>
      </c>
      <c r="J95" s="65" t="s">
        <v>45</v>
      </c>
      <c r="K95" s="65" t="s">
        <v>45</v>
      </c>
      <c r="L95" s="65" t="s">
        <v>45</v>
      </c>
      <c r="M95" s="65" t="s">
        <v>45</v>
      </c>
      <c r="N95" s="65" t="s">
        <v>45</v>
      </c>
      <c r="O95" s="89"/>
      <c r="P95" s="65" t="s">
        <v>45</v>
      </c>
      <c r="Q95" s="162"/>
      <c r="R95" s="64" t="s">
        <v>45</v>
      </c>
      <c r="S95" s="162"/>
      <c r="T95" s="89"/>
    </row>
    <row r="96" spans="2:20" ht="30" customHeight="1" x14ac:dyDescent="0.25">
      <c r="B96" s="162"/>
      <c r="C96" s="162"/>
      <c r="D96" s="89"/>
      <c r="E96" s="67" t="s">
        <v>21</v>
      </c>
      <c r="F96" s="77" t="s">
        <v>45</v>
      </c>
      <c r="G96" s="77" t="s">
        <v>45</v>
      </c>
      <c r="H96" s="69" t="s">
        <v>45</v>
      </c>
      <c r="I96" s="69" t="s">
        <v>45</v>
      </c>
      <c r="J96" s="65" t="s">
        <v>45</v>
      </c>
      <c r="K96" s="65" t="s">
        <v>45</v>
      </c>
      <c r="L96" s="65" t="s">
        <v>45</v>
      </c>
      <c r="M96" s="65" t="s">
        <v>45</v>
      </c>
      <c r="N96" s="65" t="s">
        <v>45</v>
      </c>
      <c r="O96" s="89"/>
      <c r="P96" s="65" t="s">
        <v>45</v>
      </c>
      <c r="Q96" s="162"/>
      <c r="R96" s="64" t="s">
        <v>45</v>
      </c>
      <c r="S96" s="162"/>
      <c r="T96" s="89"/>
    </row>
    <row r="97" spans="2:20" ht="30" customHeight="1" x14ac:dyDescent="0.25">
      <c r="B97" s="162"/>
      <c r="C97" s="162"/>
      <c r="D97" s="89"/>
      <c r="E97" s="67" t="s">
        <v>30</v>
      </c>
      <c r="F97" s="77" t="s">
        <v>45</v>
      </c>
      <c r="G97" s="77" t="s">
        <v>45</v>
      </c>
      <c r="H97" s="69" t="s">
        <v>45</v>
      </c>
      <c r="I97" s="69" t="s">
        <v>45</v>
      </c>
      <c r="J97" s="65" t="s">
        <v>45</v>
      </c>
      <c r="K97" s="65" t="s">
        <v>45</v>
      </c>
      <c r="L97" s="65" t="s">
        <v>45</v>
      </c>
      <c r="M97" s="65" t="s">
        <v>45</v>
      </c>
      <c r="N97" s="65" t="s">
        <v>45</v>
      </c>
      <c r="O97" s="89"/>
      <c r="P97" s="65" t="s">
        <v>45</v>
      </c>
      <c r="Q97" s="162"/>
      <c r="R97" s="64" t="s">
        <v>45</v>
      </c>
      <c r="S97" s="162"/>
      <c r="T97" s="89"/>
    </row>
    <row r="98" spans="2:20" ht="49.95" customHeight="1" x14ac:dyDescent="0.25">
      <c r="B98" s="90" t="s">
        <v>105</v>
      </c>
      <c r="C98" s="90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90"/>
      <c r="T98" s="90"/>
    </row>
  </sheetData>
  <mergeCells count="84">
    <mergeCell ref="B98:T98"/>
    <mergeCell ref="T82:T87"/>
    <mergeCell ref="B88:B97"/>
    <mergeCell ref="C88:C97"/>
    <mergeCell ref="D88:D97"/>
    <mergeCell ref="O88:O97"/>
    <mergeCell ref="Q88:Q97"/>
    <mergeCell ref="S88:S97"/>
    <mergeCell ref="T92:T97"/>
    <mergeCell ref="B78:B87"/>
    <mergeCell ref="C78:C87"/>
    <mergeCell ref="D78:D87"/>
    <mergeCell ref="O78:O87"/>
    <mergeCell ref="Q78:Q87"/>
    <mergeCell ref="S78:S87"/>
    <mergeCell ref="T62:T67"/>
    <mergeCell ref="B68:B77"/>
    <mergeCell ref="C68:C77"/>
    <mergeCell ref="D68:D77"/>
    <mergeCell ref="O68:O77"/>
    <mergeCell ref="Q68:Q77"/>
    <mergeCell ref="S68:S77"/>
    <mergeCell ref="T72:T77"/>
    <mergeCell ref="B58:B67"/>
    <mergeCell ref="C58:C67"/>
    <mergeCell ref="D58:D67"/>
    <mergeCell ref="O58:O67"/>
    <mergeCell ref="Q58:Q67"/>
    <mergeCell ref="S58:S67"/>
    <mergeCell ref="T42:T47"/>
    <mergeCell ref="B48:B57"/>
    <mergeCell ref="C48:C57"/>
    <mergeCell ref="D48:D57"/>
    <mergeCell ref="O48:O57"/>
    <mergeCell ref="Q48:Q57"/>
    <mergeCell ref="S48:S57"/>
    <mergeCell ref="T52:T57"/>
    <mergeCell ref="B38:B47"/>
    <mergeCell ref="C38:C47"/>
    <mergeCell ref="D38:D47"/>
    <mergeCell ref="O38:O47"/>
    <mergeCell ref="Q38:Q47"/>
    <mergeCell ref="S38:S47"/>
    <mergeCell ref="T22:T27"/>
    <mergeCell ref="B28:B37"/>
    <mergeCell ref="C28:C37"/>
    <mergeCell ref="D28:D37"/>
    <mergeCell ref="O28:O37"/>
    <mergeCell ref="Q28:Q37"/>
    <mergeCell ref="S28:S37"/>
    <mergeCell ref="T32:T37"/>
    <mergeCell ref="B18:B27"/>
    <mergeCell ref="C18:C27"/>
    <mergeCell ref="D18:D27"/>
    <mergeCell ref="O18:O27"/>
    <mergeCell ref="Q18:Q27"/>
    <mergeCell ref="S18:S27"/>
    <mergeCell ref="S8:S17"/>
    <mergeCell ref="T12:T17"/>
    <mergeCell ref="P5:P6"/>
    <mergeCell ref="Q5:S5"/>
    <mergeCell ref="T5:T6"/>
    <mergeCell ref="B7:T7"/>
    <mergeCell ref="B8:B17"/>
    <mergeCell ref="C8:C17"/>
    <mergeCell ref="D8:D17"/>
    <mergeCell ref="O8:O17"/>
    <mergeCell ref="Q8:Q17"/>
    <mergeCell ref="B4:I4"/>
    <mergeCell ref="J4:P4"/>
    <mergeCell ref="R4:T4"/>
    <mergeCell ref="B5:B6"/>
    <mergeCell ref="C5:I5"/>
    <mergeCell ref="J5:J6"/>
    <mergeCell ref="K5:K6"/>
    <mergeCell ref="L5:M5"/>
    <mergeCell ref="N5:N6"/>
    <mergeCell ref="O5:O6"/>
    <mergeCell ref="B2:I2"/>
    <mergeCell ref="J2:P2"/>
    <mergeCell ref="Q2:T2"/>
    <mergeCell ref="C3:I3"/>
    <mergeCell ref="J3:P3"/>
    <mergeCell ref="Q3:T3"/>
  </mergeCells>
  <printOptions horizontalCentered="1"/>
  <pageMargins left="0.25" right="0.25" top="0.75" bottom="0.75" header="0.3" footer="0.3"/>
  <pageSetup paperSize="8" scale="38" fitToHeight="0" orientation="landscape" r:id="rId1"/>
  <headerFooter>
    <oddFooter>&amp;L&amp;1#&amp;"Calibri,Regular"&amp;8&amp;K000000Sensitivity: LNT Construction Internal Use&amp;CPage &amp;P-1 of &amp;N-1&amp;R&amp;8Designed by: GP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358F-E630-40D5-A24F-519B247B264B}">
  <sheetPr>
    <pageSetUpPr fitToPage="1"/>
  </sheetPr>
  <dimension ref="B1:N332"/>
  <sheetViews>
    <sheetView view="pageBreakPreview" zoomScale="40" zoomScaleNormal="40" zoomScaleSheetLayoutView="40" workbookViewId="0">
      <selection activeCell="I14" sqref="I14"/>
    </sheetView>
  </sheetViews>
  <sheetFormatPr defaultRowHeight="23.4" x14ac:dyDescent="0.45"/>
  <cols>
    <col min="1" max="1" width="2.77734375" style="66" customWidth="1"/>
    <col min="2" max="2" width="14" style="66" bestFit="1" customWidth="1"/>
    <col min="3" max="3" width="27.109375" style="66" customWidth="1"/>
    <col min="4" max="4" width="40.21875" style="66" customWidth="1"/>
    <col min="5" max="6" width="25.109375" style="66" customWidth="1"/>
    <col min="7" max="7" width="24.109375" style="66" customWidth="1"/>
    <col min="8" max="8" width="66.5546875" style="66" bestFit="1" customWidth="1"/>
    <col min="9" max="9" width="37.109375" style="66" customWidth="1"/>
    <col min="10" max="10" width="32.21875" style="66" customWidth="1"/>
    <col min="11" max="11" width="81.6640625" style="66" customWidth="1"/>
    <col min="12" max="12" width="32.109375" style="66" bestFit="1" customWidth="1"/>
    <col min="13" max="13" width="78.21875" style="66" customWidth="1"/>
    <col min="14" max="14" width="21.77734375" style="66" customWidth="1"/>
    <col min="15" max="16384" width="8.88671875" style="66"/>
  </cols>
  <sheetData>
    <row r="1" spans="2:14" ht="13.2" customHeight="1" x14ac:dyDescent="0.45"/>
    <row r="2" spans="2:14" ht="90" customHeight="1" x14ac:dyDescent="0.45">
      <c r="B2" s="82" t="s">
        <v>420</v>
      </c>
      <c r="C2" s="82"/>
      <c r="D2" s="82"/>
      <c r="E2" s="82"/>
      <c r="F2" s="82"/>
      <c r="G2" s="82" t="str">
        <f>Cover!$B$54&amp;" "&amp;Cover!$B$55</f>
        <v>PROJECT: DESIGN AND CONSTRUCTION FOR DHANKI TO TOKRALA (UPTO NATIONAL HIGHWAY CROSSING) BULK PIPELINE 45 KMS INCLUDING CONSTRUCTION OF RCC U/G SUMP, PUMP HOUSE, SITC OF PUMPING MACHINERY AND ANCILLARY WORKS AT DHANKI PUMPING STATION WITH 10 YEARS COMPREHENSIVE OPERATION &amp; MAINTENANCE UNDER DHANKI TO NAVDA PIPELINE PROJECT (PACKAGE NO-1 NC 42)</v>
      </c>
      <c r="H2" s="82"/>
      <c r="I2" s="82"/>
      <c r="J2" s="82"/>
      <c r="K2" s="82"/>
      <c r="L2" s="82" t="s">
        <v>0</v>
      </c>
      <c r="M2" s="82"/>
      <c r="N2" s="82"/>
    </row>
    <row r="3" spans="2:14" ht="60" customHeight="1" x14ac:dyDescent="0.45">
      <c r="B3" s="62" t="s">
        <v>361</v>
      </c>
      <c r="C3" s="82" t="str">
        <f>Cover!$B$51</f>
        <v>GUJARAT WATER INFRASTRUCTURE LIMITED (GWIL), GANDHINAGAR</v>
      </c>
      <c r="D3" s="82"/>
      <c r="E3" s="82"/>
      <c r="F3" s="82"/>
      <c r="G3" s="82" t="s">
        <v>119</v>
      </c>
      <c r="H3" s="82"/>
      <c r="I3" s="82"/>
      <c r="J3" s="82"/>
      <c r="K3" s="82"/>
      <c r="L3" s="82" t="s">
        <v>22</v>
      </c>
      <c r="M3" s="82"/>
      <c r="N3" s="82"/>
    </row>
    <row r="4" spans="2:14" ht="60" customHeight="1" x14ac:dyDescent="0.45">
      <c r="B4" s="85" t="s">
        <v>362</v>
      </c>
      <c r="C4" s="85"/>
      <c r="D4" s="85"/>
      <c r="E4" s="85"/>
      <c r="F4" s="85"/>
      <c r="G4" s="84" t="str">
        <f>"DOCUMENT NO: "&amp;_xlfn.CONCAT(Cover!$D$65:$AA$65)</f>
        <v>DOCUMENT NO: LE22M232-I-WS-RW-CI-5010</v>
      </c>
      <c r="H4" s="84"/>
      <c r="I4" s="84"/>
      <c r="J4" s="84"/>
      <c r="K4" s="84"/>
      <c r="L4" s="82" t="s">
        <v>356</v>
      </c>
      <c r="M4" s="82"/>
      <c r="N4" s="82"/>
    </row>
    <row r="5" spans="2:14" ht="30" customHeight="1" x14ac:dyDescent="0.45">
      <c r="B5" s="83" t="s">
        <v>363</v>
      </c>
      <c r="C5" s="84" t="s">
        <v>369</v>
      </c>
      <c r="D5" s="84"/>
      <c r="E5" s="84"/>
      <c r="F5" s="84"/>
      <c r="G5" s="84"/>
      <c r="H5" s="82" t="s">
        <v>357</v>
      </c>
      <c r="I5" s="84" t="s">
        <v>2</v>
      </c>
      <c r="J5" s="84"/>
      <c r="K5" s="84" t="s">
        <v>358</v>
      </c>
      <c r="L5" s="84" t="s">
        <v>359</v>
      </c>
      <c r="M5" s="84"/>
      <c r="N5" s="83" t="s">
        <v>360</v>
      </c>
    </row>
    <row r="6" spans="2:14" ht="30" customHeight="1" x14ac:dyDescent="0.45">
      <c r="B6" s="83"/>
      <c r="C6" s="83" t="s">
        <v>4</v>
      </c>
      <c r="D6" s="83" t="s">
        <v>3</v>
      </c>
      <c r="E6" s="83" t="s">
        <v>365</v>
      </c>
      <c r="F6" s="83" t="s">
        <v>370</v>
      </c>
      <c r="G6" s="83" t="s">
        <v>364</v>
      </c>
      <c r="H6" s="82"/>
      <c r="I6" s="83" t="s">
        <v>5</v>
      </c>
      <c r="J6" s="83" t="s">
        <v>6</v>
      </c>
      <c r="K6" s="84"/>
      <c r="L6" s="83" t="s">
        <v>7</v>
      </c>
      <c r="M6" s="83" t="s">
        <v>8</v>
      </c>
      <c r="N6" s="83"/>
    </row>
    <row r="7" spans="2:14" ht="30" customHeight="1" x14ac:dyDescent="0.45">
      <c r="B7" s="83"/>
      <c r="C7" s="83"/>
      <c r="D7" s="83"/>
      <c r="E7" s="83"/>
      <c r="F7" s="83"/>
      <c r="G7" s="83"/>
      <c r="H7" s="82"/>
      <c r="I7" s="83"/>
      <c r="J7" s="83"/>
      <c r="K7" s="84"/>
      <c r="L7" s="83"/>
      <c r="M7" s="83"/>
      <c r="N7" s="83"/>
    </row>
    <row r="8" spans="2:14" ht="30" customHeight="1" x14ac:dyDescent="0.45">
      <c r="B8" s="86" t="s">
        <v>366</v>
      </c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</row>
    <row r="9" spans="2:14" ht="30" customHeight="1" x14ac:dyDescent="0.45">
      <c r="B9" s="87" t="s">
        <v>10</v>
      </c>
      <c r="C9" s="88" t="s">
        <v>312</v>
      </c>
      <c r="D9" s="89" t="s">
        <v>379</v>
      </c>
      <c r="E9" s="88" t="s">
        <v>331</v>
      </c>
      <c r="F9" s="88" t="s">
        <v>371</v>
      </c>
      <c r="G9" s="65" t="str">
        <f>"1TS"&amp;B9&amp;"/"&amp;LEFT(E9,1)&amp;"U"</f>
        <v>1TS1/1U</v>
      </c>
      <c r="H9" s="65" t="str">
        <f>_xlfn.CONCAT(G9,"-",J9,"-",I9,"/",L9)</f>
        <v>1TS1/1U-*-*/1TS1/1U-R1</v>
      </c>
      <c r="I9" s="65" t="s">
        <v>33</v>
      </c>
      <c r="J9" s="65" t="s">
        <v>33</v>
      </c>
      <c r="K9" s="65" t="str">
        <f>_xlfn.CONCAT(L9,"/",J9,"-",I9,"-",G9)</f>
        <v>1TS1/1U-R1/*-*-1TS1/1U</v>
      </c>
      <c r="L9" s="64" t="str">
        <f>G9&amp;"-"&amp;RIGHT(M9,2)</f>
        <v>1TS1/1U-R1</v>
      </c>
      <c r="M9" s="91" t="str">
        <f>"RTD-0"&amp;B9&amp;" VTP-0"&amp;B9&amp;" Winding Temperature R1"</f>
        <v>RTD-01 VTP-01 Winding Temperature R1</v>
      </c>
      <c r="N9" s="88"/>
    </row>
    <row r="10" spans="2:14" ht="30" customHeight="1" x14ac:dyDescent="0.45">
      <c r="B10" s="87"/>
      <c r="C10" s="88"/>
      <c r="D10" s="89"/>
      <c r="E10" s="88"/>
      <c r="F10" s="88"/>
      <c r="G10" s="65" t="str">
        <f>"1TS"&amp;B9&amp;"/"&amp;LEFT(E9,1)&amp;"M"</f>
        <v>1TS1/1M</v>
      </c>
      <c r="H10" s="65" t="str">
        <f t="shared" ref="H10:H32" si="0">_xlfn.CONCAT(G10,"-",J10,"-",I10,"/",L10)</f>
        <v>1TS1/1M-*-*/1TS1/1M-R1</v>
      </c>
      <c r="I10" s="65" t="s">
        <v>33</v>
      </c>
      <c r="J10" s="65" t="s">
        <v>33</v>
      </c>
      <c r="K10" s="65" t="str">
        <f t="shared" ref="K10:K32" si="1">_xlfn.CONCAT(L10,"/",J10,"-",I10,"-",G10)</f>
        <v>1TS1/1M-R1/*-*-1TS1/1M</v>
      </c>
      <c r="L10" s="64" t="str">
        <f>G10&amp;"-"&amp;RIGHT(M9,2)</f>
        <v>1TS1/1M-R1</v>
      </c>
      <c r="M10" s="91"/>
      <c r="N10" s="88"/>
    </row>
    <row r="11" spans="2:14" ht="30" customHeight="1" x14ac:dyDescent="0.45">
      <c r="B11" s="87"/>
      <c r="C11" s="88"/>
      <c r="D11" s="89"/>
      <c r="E11" s="88"/>
      <c r="F11" s="88"/>
      <c r="G11" s="65" t="str">
        <f>"1TS"&amp;B9&amp;"/"&amp;LEFT(E9,1)&amp;"L"</f>
        <v>1TS1/1L</v>
      </c>
      <c r="H11" s="65" t="str">
        <f t="shared" si="0"/>
        <v>1TS1/1L-*-*/1TS1/1L-R1</v>
      </c>
      <c r="I11" s="65" t="s">
        <v>33</v>
      </c>
      <c r="J11" s="65" t="s">
        <v>33</v>
      </c>
      <c r="K11" s="65" t="str">
        <f t="shared" si="1"/>
        <v>1TS1/1L-R1/*-*-1TS1/1L</v>
      </c>
      <c r="L11" s="64" t="str">
        <f>G11&amp;"-"&amp;RIGHT(M9,2)</f>
        <v>1TS1/1L-R1</v>
      </c>
      <c r="M11" s="91"/>
      <c r="N11" s="88"/>
    </row>
    <row r="12" spans="2:14" ht="30" customHeight="1" x14ac:dyDescent="0.45">
      <c r="B12" s="87"/>
      <c r="C12" s="88"/>
      <c r="D12" s="89"/>
      <c r="E12" s="88" t="s">
        <v>332</v>
      </c>
      <c r="F12" s="88" t="s">
        <v>372</v>
      </c>
      <c r="G12" s="65" t="str">
        <f>"1TS"&amp;B9&amp;"/"&amp;LEFT(E12,1)&amp;"U"</f>
        <v>1TS1/2U</v>
      </c>
      <c r="H12" s="65" t="str">
        <f t="shared" si="0"/>
        <v>1TS1/2U-*-*/1TS1/2U-Y1</v>
      </c>
      <c r="I12" s="65" t="s">
        <v>33</v>
      </c>
      <c r="J12" s="65" t="s">
        <v>33</v>
      </c>
      <c r="K12" s="65" t="str">
        <f t="shared" si="1"/>
        <v>1TS1/2U-Y1/*-*-1TS1/2U</v>
      </c>
      <c r="L12" s="64" t="str">
        <f t="shared" ref="L12" si="2">G12&amp;"-"&amp;RIGHT(M12,2)</f>
        <v>1TS1/2U-Y1</v>
      </c>
      <c r="M12" s="91" t="str">
        <f>"RTD-0"&amp;B9&amp;" VTP-0"&amp;B9&amp;" Winding Temperature Y1"</f>
        <v>RTD-01 VTP-01 Winding Temperature Y1</v>
      </c>
      <c r="N12" s="88"/>
    </row>
    <row r="13" spans="2:14" ht="30" customHeight="1" x14ac:dyDescent="0.45">
      <c r="B13" s="87"/>
      <c r="C13" s="88"/>
      <c r="D13" s="89"/>
      <c r="E13" s="88"/>
      <c r="F13" s="88"/>
      <c r="G13" s="65" t="str">
        <f>"1TS"&amp;B9&amp;"/"&amp;LEFT(E12,1)&amp;"M"</f>
        <v>1TS1/2M</v>
      </c>
      <c r="H13" s="65" t="str">
        <f t="shared" si="0"/>
        <v>1TS1/2M-*-*/1TS1/2M-Y1</v>
      </c>
      <c r="I13" s="65" t="s">
        <v>33</v>
      </c>
      <c r="J13" s="65" t="s">
        <v>33</v>
      </c>
      <c r="K13" s="65" t="str">
        <f t="shared" si="1"/>
        <v>1TS1/2M-Y1/*-*-1TS1/2M</v>
      </c>
      <c r="L13" s="64" t="str">
        <f t="shared" ref="L13" si="3">G13&amp;"-"&amp;RIGHT(M12,2)</f>
        <v>1TS1/2M-Y1</v>
      </c>
      <c r="M13" s="91"/>
      <c r="N13" s="88"/>
    </row>
    <row r="14" spans="2:14" ht="30" customHeight="1" x14ac:dyDescent="0.45">
      <c r="B14" s="87"/>
      <c r="C14" s="88"/>
      <c r="D14" s="89"/>
      <c r="E14" s="88"/>
      <c r="F14" s="88"/>
      <c r="G14" s="65" t="str">
        <f>"1TS"&amp;B9&amp;"/"&amp;LEFT(E12,1)&amp;"L"</f>
        <v>1TS1/2L</v>
      </c>
      <c r="H14" s="65" t="str">
        <f t="shared" si="0"/>
        <v>1TS1/2L-*-*/1TS1/2L-Y1</v>
      </c>
      <c r="I14" s="65" t="s">
        <v>33</v>
      </c>
      <c r="J14" s="65" t="s">
        <v>33</v>
      </c>
      <c r="K14" s="65" t="str">
        <f t="shared" si="1"/>
        <v>1TS1/2L-Y1/*-*-1TS1/2L</v>
      </c>
      <c r="L14" s="64" t="str">
        <f t="shared" ref="L14" si="4">G14&amp;"-"&amp;RIGHT(M12,2)</f>
        <v>1TS1/2L-Y1</v>
      </c>
      <c r="M14" s="91"/>
      <c r="N14" s="88"/>
    </row>
    <row r="15" spans="2:14" ht="30" customHeight="1" x14ac:dyDescent="0.45">
      <c r="B15" s="87"/>
      <c r="C15" s="88"/>
      <c r="D15" s="89"/>
      <c r="E15" s="88" t="s">
        <v>333</v>
      </c>
      <c r="F15" s="88" t="s">
        <v>373</v>
      </c>
      <c r="G15" s="65" t="str">
        <f>"1TS"&amp;B9&amp;"/"&amp;LEFT(E15,1)&amp;"U"</f>
        <v>1TS1/3U</v>
      </c>
      <c r="H15" s="65" t="str">
        <f t="shared" si="0"/>
        <v>1TS1/3U-*-*/1TS1/3U-B1</v>
      </c>
      <c r="I15" s="65" t="s">
        <v>33</v>
      </c>
      <c r="J15" s="65" t="s">
        <v>33</v>
      </c>
      <c r="K15" s="65" t="str">
        <f t="shared" si="1"/>
        <v>1TS1/3U-B1/*-*-1TS1/3U</v>
      </c>
      <c r="L15" s="64" t="str">
        <f t="shared" ref="L15" si="5">G15&amp;"-"&amp;RIGHT(M15,2)</f>
        <v>1TS1/3U-B1</v>
      </c>
      <c r="M15" s="91" t="str">
        <f>"RTD-0"&amp;B9&amp;" VTP-0"&amp;B9&amp;" Winding Temperature B1"</f>
        <v>RTD-01 VTP-01 Winding Temperature B1</v>
      </c>
      <c r="N15" s="88"/>
    </row>
    <row r="16" spans="2:14" ht="30" customHeight="1" x14ac:dyDescent="0.45">
      <c r="B16" s="87"/>
      <c r="C16" s="88"/>
      <c r="D16" s="89"/>
      <c r="E16" s="88"/>
      <c r="F16" s="88"/>
      <c r="G16" s="65" t="str">
        <f>"1TS"&amp;B9&amp;"/"&amp;LEFT(E15,1)&amp;"M"</f>
        <v>1TS1/3M</v>
      </c>
      <c r="H16" s="65" t="str">
        <f t="shared" si="0"/>
        <v>1TS1/3M-*-*/1TS1/3M-B1</v>
      </c>
      <c r="I16" s="65" t="s">
        <v>33</v>
      </c>
      <c r="J16" s="65" t="s">
        <v>33</v>
      </c>
      <c r="K16" s="65" t="str">
        <f t="shared" si="1"/>
        <v>1TS1/3M-B1/*-*-1TS1/3M</v>
      </c>
      <c r="L16" s="64" t="str">
        <f t="shared" ref="L16" si="6">G16&amp;"-"&amp;RIGHT(M15,2)</f>
        <v>1TS1/3M-B1</v>
      </c>
      <c r="M16" s="91"/>
      <c r="N16" s="88"/>
    </row>
    <row r="17" spans="2:14" ht="30" customHeight="1" x14ac:dyDescent="0.45">
      <c r="B17" s="87"/>
      <c r="C17" s="88"/>
      <c r="D17" s="89"/>
      <c r="E17" s="88"/>
      <c r="F17" s="88"/>
      <c r="G17" s="65" t="str">
        <f>"1TS"&amp;B9&amp;"/"&amp;LEFT(E15,1)&amp;"L"</f>
        <v>1TS1/3L</v>
      </c>
      <c r="H17" s="65" t="str">
        <f t="shared" si="0"/>
        <v>1TS1/3L-*-*/1TS1/3L-B1</v>
      </c>
      <c r="I17" s="65" t="s">
        <v>33</v>
      </c>
      <c r="J17" s="65" t="s">
        <v>33</v>
      </c>
      <c r="K17" s="65" t="str">
        <f t="shared" si="1"/>
        <v>1TS1/3L-B1/*-*-1TS1/3L</v>
      </c>
      <c r="L17" s="64" t="str">
        <f t="shared" ref="L17" si="7">G17&amp;"-"&amp;RIGHT(M15,2)</f>
        <v>1TS1/3L-B1</v>
      </c>
      <c r="M17" s="91"/>
      <c r="N17" s="88"/>
    </row>
    <row r="18" spans="2:14" ht="30" customHeight="1" x14ac:dyDescent="0.45">
      <c r="B18" s="87"/>
      <c r="C18" s="88"/>
      <c r="D18" s="89"/>
      <c r="E18" s="88" t="s">
        <v>334</v>
      </c>
      <c r="F18" s="88" t="s">
        <v>374</v>
      </c>
      <c r="G18" s="65" t="str">
        <f>"1TS"&amp;B9&amp;"/"&amp;LEFT(E18,1)&amp;"U"</f>
        <v>1TS1/4U</v>
      </c>
      <c r="H18" s="65" t="str">
        <f t="shared" si="0"/>
        <v>1TS1/4U-*-*/1TS1/4U-R2</v>
      </c>
      <c r="I18" s="65" t="s">
        <v>33</v>
      </c>
      <c r="J18" s="65" t="s">
        <v>33</v>
      </c>
      <c r="K18" s="65" t="str">
        <f t="shared" si="1"/>
        <v>1TS1/4U-R2/*-*-1TS1/4U</v>
      </c>
      <c r="L18" s="64" t="str">
        <f t="shared" ref="L18" si="8">G18&amp;"-"&amp;RIGHT(M18,2)</f>
        <v>1TS1/4U-R2</v>
      </c>
      <c r="M18" s="91" t="str">
        <f>"RTD-0"&amp;B9&amp;" VTP-0"&amp;B9&amp;" Winding Temperature R2"</f>
        <v>RTD-01 VTP-01 Winding Temperature R2</v>
      </c>
      <c r="N18" s="88"/>
    </row>
    <row r="19" spans="2:14" ht="30" customHeight="1" x14ac:dyDescent="0.45">
      <c r="B19" s="87"/>
      <c r="C19" s="88"/>
      <c r="D19" s="89"/>
      <c r="E19" s="88"/>
      <c r="F19" s="88"/>
      <c r="G19" s="65" t="str">
        <f>"1TS"&amp;B9&amp;"/"&amp;LEFT(E18,1)&amp;"M"</f>
        <v>1TS1/4M</v>
      </c>
      <c r="H19" s="65" t="str">
        <f t="shared" si="0"/>
        <v>1TS1/4M-*-*/1TS1/4M-R2</v>
      </c>
      <c r="I19" s="65" t="s">
        <v>33</v>
      </c>
      <c r="J19" s="65" t="s">
        <v>33</v>
      </c>
      <c r="K19" s="65" t="str">
        <f t="shared" si="1"/>
        <v>1TS1/4M-R2/*-*-1TS1/4M</v>
      </c>
      <c r="L19" s="64" t="str">
        <f t="shared" ref="L19" si="9">G19&amp;"-"&amp;RIGHT(M18,2)</f>
        <v>1TS1/4M-R2</v>
      </c>
      <c r="M19" s="91"/>
      <c r="N19" s="88"/>
    </row>
    <row r="20" spans="2:14" ht="30" customHeight="1" x14ac:dyDescent="0.45">
      <c r="B20" s="87"/>
      <c r="C20" s="88"/>
      <c r="D20" s="89"/>
      <c r="E20" s="88"/>
      <c r="F20" s="88"/>
      <c r="G20" s="65" t="str">
        <f>"1TS"&amp;B9&amp;"/"&amp;LEFT(E18,1)&amp;"L"</f>
        <v>1TS1/4L</v>
      </c>
      <c r="H20" s="65" t="str">
        <f t="shared" si="0"/>
        <v>1TS1/4L-*-*/1TS1/4L-R2</v>
      </c>
      <c r="I20" s="65" t="s">
        <v>33</v>
      </c>
      <c r="J20" s="65" t="s">
        <v>33</v>
      </c>
      <c r="K20" s="65" t="str">
        <f t="shared" si="1"/>
        <v>1TS1/4L-R2/*-*-1TS1/4L</v>
      </c>
      <c r="L20" s="64" t="str">
        <f t="shared" ref="L20" si="10">G20&amp;"-"&amp;RIGHT(M18,2)</f>
        <v>1TS1/4L-R2</v>
      </c>
      <c r="M20" s="91"/>
      <c r="N20" s="88"/>
    </row>
    <row r="21" spans="2:14" ht="30" customHeight="1" x14ac:dyDescent="0.45">
      <c r="B21" s="87"/>
      <c r="C21" s="88"/>
      <c r="D21" s="89"/>
      <c r="E21" s="88" t="s">
        <v>335</v>
      </c>
      <c r="F21" s="88" t="s">
        <v>375</v>
      </c>
      <c r="G21" s="65" t="str">
        <f>"1TS"&amp;B9&amp;"/"&amp;LEFT(E21,1)&amp;"U"</f>
        <v>1TS1/5U</v>
      </c>
      <c r="H21" s="65" t="str">
        <f t="shared" si="0"/>
        <v>1TS1/5U-*-*/1TS1/5U-Y2</v>
      </c>
      <c r="I21" s="65" t="s">
        <v>33</v>
      </c>
      <c r="J21" s="65" t="s">
        <v>33</v>
      </c>
      <c r="K21" s="65" t="str">
        <f t="shared" si="1"/>
        <v>1TS1/5U-Y2/*-*-1TS1/5U</v>
      </c>
      <c r="L21" s="64" t="str">
        <f t="shared" ref="L21" si="11">G21&amp;"-"&amp;RIGHT(M21,2)</f>
        <v>1TS1/5U-Y2</v>
      </c>
      <c r="M21" s="91" t="str">
        <f>"RTD-0"&amp;B9&amp;" VTP-0"&amp;B9&amp;" Winding Temperature Y2"</f>
        <v>RTD-01 VTP-01 Winding Temperature Y2</v>
      </c>
      <c r="N21" s="88"/>
    </row>
    <row r="22" spans="2:14" ht="30" customHeight="1" x14ac:dyDescent="0.45">
      <c r="B22" s="87"/>
      <c r="C22" s="88"/>
      <c r="D22" s="89"/>
      <c r="E22" s="88"/>
      <c r="F22" s="88"/>
      <c r="G22" s="65" t="str">
        <f>"1TS"&amp;B9&amp;"/"&amp;LEFT(E21,1)&amp;"M"</f>
        <v>1TS1/5M</v>
      </c>
      <c r="H22" s="65" t="str">
        <f t="shared" si="0"/>
        <v>1TS1/5M-*-*/1TS1/5M-Y2</v>
      </c>
      <c r="I22" s="65" t="s">
        <v>33</v>
      </c>
      <c r="J22" s="65" t="s">
        <v>33</v>
      </c>
      <c r="K22" s="65" t="str">
        <f t="shared" si="1"/>
        <v>1TS1/5M-Y2/*-*-1TS1/5M</v>
      </c>
      <c r="L22" s="64" t="str">
        <f t="shared" ref="L22" si="12">G22&amp;"-"&amp;RIGHT(M21,2)</f>
        <v>1TS1/5M-Y2</v>
      </c>
      <c r="M22" s="91"/>
      <c r="N22" s="88"/>
    </row>
    <row r="23" spans="2:14" ht="30" customHeight="1" x14ac:dyDescent="0.45">
      <c r="B23" s="87"/>
      <c r="C23" s="88"/>
      <c r="D23" s="89"/>
      <c r="E23" s="88"/>
      <c r="F23" s="88"/>
      <c r="G23" s="65" t="str">
        <f>"1TS"&amp;B9&amp;"/"&amp;LEFT(E21,1)&amp;"L"</f>
        <v>1TS1/5L</v>
      </c>
      <c r="H23" s="65" t="str">
        <f t="shared" si="0"/>
        <v>1TS1/5L-*-*/1TS1/5L-Y2</v>
      </c>
      <c r="I23" s="65" t="s">
        <v>33</v>
      </c>
      <c r="J23" s="65" t="s">
        <v>33</v>
      </c>
      <c r="K23" s="65" t="str">
        <f t="shared" si="1"/>
        <v>1TS1/5L-Y2/*-*-1TS1/5L</v>
      </c>
      <c r="L23" s="64" t="str">
        <f t="shared" ref="L23" si="13">G23&amp;"-"&amp;RIGHT(M21,2)</f>
        <v>1TS1/5L-Y2</v>
      </c>
      <c r="M23" s="91"/>
      <c r="N23" s="88"/>
    </row>
    <row r="24" spans="2:14" ht="30" customHeight="1" x14ac:dyDescent="0.45">
      <c r="B24" s="87"/>
      <c r="C24" s="88"/>
      <c r="D24" s="89"/>
      <c r="E24" s="88" t="s">
        <v>336</v>
      </c>
      <c r="F24" s="88" t="s">
        <v>376</v>
      </c>
      <c r="G24" s="65" t="str">
        <f>"1TS"&amp;B9&amp;"/"&amp;LEFT(E24,1)&amp;"U"</f>
        <v>1TS1/6U</v>
      </c>
      <c r="H24" s="65" t="str">
        <f t="shared" si="0"/>
        <v>1TS1/6U-*-*/1TS1/6U-B2</v>
      </c>
      <c r="I24" s="65" t="s">
        <v>33</v>
      </c>
      <c r="J24" s="65" t="s">
        <v>33</v>
      </c>
      <c r="K24" s="65" t="str">
        <f t="shared" si="1"/>
        <v>1TS1/6U-B2/*-*-1TS1/6U</v>
      </c>
      <c r="L24" s="64" t="str">
        <f t="shared" ref="L24" si="14">G24&amp;"-"&amp;RIGHT(M24,2)</f>
        <v>1TS1/6U-B2</v>
      </c>
      <c r="M24" s="91" t="str">
        <f>"RTD-0"&amp;B9&amp;" VTP-0"&amp;B9&amp;" Winding Temperature B2"</f>
        <v>RTD-01 VTP-01 Winding Temperature B2</v>
      </c>
      <c r="N24" s="88"/>
    </row>
    <row r="25" spans="2:14" ht="30" customHeight="1" x14ac:dyDescent="0.45">
      <c r="B25" s="87"/>
      <c r="C25" s="88"/>
      <c r="D25" s="89"/>
      <c r="E25" s="88"/>
      <c r="F25" s="88"/>
      <c r="G25" s="65" t="str">
        <f>"1TS"&amp;B9&amp;"/"&amp;LEFT(E24,1)&amp;"M"</f>
        <v>1TS1/6M</v>
      </c>
      <c r="H25" s="65" t="str">
        <f t="shared" si="0"/>
        <v>1TS1/6M-*-*/1TS1/6M-B2</v>
      </c>
      <c r="I25" s="65" t="s">
        <v>33</v>
      </c>
      <c r="J25" s="65" t="s">
        <v>33</v>
      </c>
      <c r="K25" s="65" t="str">
        <f t="shared" si="1"/>
        <v>1TS1/6M-B2/*-*-1TS1/6M</v>
      </c>
      <c r="L25" s="64" t="str">
        <f t="shared" ref="L25" si="15">G25&amp;"-"&amp;RIGHT(M24,2)</f>
        <v>1TS1/6M-B2</v>
      </c>
      <c r="M25" s="91"/>
      <c r="N25" s="88"/>
    </row>
    <row r="26" spans="2:14" ht="30" customHeight="1" x14ac:dyDescent="0.45">
      <c r="B26" s="87"/>
      <c r="C26" s="88"/>
      <c r="D26" s="89"/>
      <c r="E26" s="88"/>
      <c r="F26" s="88"/>
      <c r="G26" s="65" t="str">
        <f>"1TS"&amp;B9&amp;"/"&amp;LEFT(E24,1)&amp;"L"</f>
        <v>1TS1/6L</v>
      </c>
      <c r="H26" s="65" t="str">
        <f t="shared" si="0"/>
        <v>1TS1/6L-*-*/1TS1/6L-B2</v>
      </c>
      <c r="I26" s="65" t="s">
        <v>33</v>
      </c>
      <c r="J26" s="65" t="s">
        <v>33</v>
      </c>
      <c r="K26" s="65" t="str">
        <f t="shared" si="1"/>
        <v>1TS1/6L-B2/*-*-1TS1/6L</v>
      </c>
      <c r="L26" s="64" t="str">
        <f t="shared" ref="L26" si="16">G26&amp;"-"&amp;RIGHT(M24,2)</f>
        <v>1TS1/6L-B2</v>
      </c>
      <c r="M26" s="91"/>
      <c r="N26" s="88"/>
    </row>
    <row r="27" spans="2:14" ht="30" customHeight="1" x14ac:dyDescent="0.45">
      <c r="B27" s="87"/>
      <c r="C27" s="88"/>
      <c r="D27" s="89"/>
      <c r="E27" s="88" t="s">
        <v>337</v>
      </c>
      <c r="F27" s="88" t="s">
        <v>377</v>
      </c>
      <c r="G27" s="65" t="str">
        <f>"1TS"&amp;B9&amp;"/"&amp;LEFT(E27,1)&amp;"U"</f>
        <v>1TS1/7U</v>
      </c>
      <c r="H27" s="65" t="str">
        <f t="shared" si="0"/>
        <v>1TS1/7U-*-*/1TS1/7U-NDE</v>
      </c>
      <c r="I27" s="65" t="s">
        <v>33</v>
      </c>
      <c r="J27" s="65" t="s">
        <v>33</v>
      </c>
      <c r="K27" s="65" t="str">
        <f t="shared" si="1"/>
        <v>1TS1/7U-NDE/*-*-1TS1/7U</v>
      </c>
      <c r="L27" s="64" t="str">
        <f>G27&amp;"-"&amp;"NDE"</f>
        <v>1TS1/7U-NDE</v>
      </c>
      <c r="M27" s="91" t="str">
        <f>"RTD-0"&amp;B9&amp;" VTP-0"&amp;B9&amp;" Bearing Temperature Non-Drive End"</f>
        <v>RTD-01 VTP-01 Bearing Temperature Non-Drive End</v>
      </c>
      <c r="N27" s="88"/>
    </row>
    <row r="28" spans="2:14" ht="30" customHeight="1" x14ac:dyDescent="0.45">
      <c r="B28" s="87"/>
      <c r="C28" s="88"/>
      <c r="D28" s="89"/>
      <c r="E28" s="88"/>
      <c r="F28" s="88"/>
      <c r="G28" s="65" t="str">
        <f>"1TS"&amp;B9&amp;"/"&amp;LEFT(E27,1)&amp;"M"</f>
        <v>1TS1/7M</v>
      </c>
      <c r="H28" s="65" t="str">
        <f t="shared" si="0"/>
        <v>1TS1/7M-*-*/1TS1/7M-NDE</v>
      </c>
      <c r="I28" s="65" t="s">
        <v>33</v>
      </c>
      <c r="J28" s="65" t="s">
        <v>33</v>
      </c>
      <c r="K28" s="65" t="str">
        <f t="shared" si="1"/>
        <v>1TS1/7M-NDE/*-*-1TS1/7M</v>
      </c>
      <c r="L28" s="64" t="str">
        <f>G28&amp;"-"&amp;"NDE"</f>
        <v>1TS1/7M-NDE</v>
      </c>
      <c r="M28" s="91"/>
      <c r="N28" s="88"/>
    </row>
    <row r="29" spans="2:14" ht="30" customHeight="1" x14ac:dyDescent="0.45">
      <c r="B29" s="87"/>
      <c r="C29" s="88"/>
      <c r="D29" s="89"/>
      <c r="E29" s="88"/>
      <c r="F29" s="88"/>
      <c r="G29" s="65" t="str">
        <f>"1TS"&amp;B9&amp;"/"&amp;LEFT(E27,1)&amp;"L"</f>
        <v>1TS1/7L</v>
      </c>
      <c r="H29" s="65" t="str">
        <f t="shared" si="0"/>
        <v>1TS1/7L-*-*/1TS1/7L-NDE</v>
      </c>
      <c r="I29" s="65" t="s">
        <v>33</v>
      </c>
      <c r="J29" s="65" t="s">
        <v>33</v>
      </c>
      <c r="K29" s="65" t="str">
        <f t="shared" si="1"/>
        <v>1TS1/7L-NDE/*-*-1TS1/7L</v>
      </c>
      <c r="L29" s="64" t="str">
        <f>G29&amp;"-"&amp;"NDE"</f>
        <v>1TS1/7L-NDE</v>
      </c>
      <c r="M29" s="91"/>
      <c r="N29" s="88"/>
    </row>
    <row r="30" spans="2:14" ht="30" customHeight="1" x14ac:dyDescent="0.45">
      <c r="B30" s="87"/>
      <c r="C30" s="88"/>
      <c r="D30" s="89"/>
      <c r="E30" s="88" t="s">
        <v>338</v>
      </c>
      <c r="F30" s="88" t="s">
        <v>378</v>
      </c>
      <c r="G30" s="65" t="str">
        <f>"1TS"&amp;B9&amp;"/"&amp;LEFT(E30,1)&amp;"U"</f>
        <v>1TS1/8U</v>
      </c>
      <c r="H30" s="65" t="str">
        <f t="shared" si="0"/>
        <v>1TS1/8U-*-*/1TS1/8U-DE</v>
      </c>
      <c r="I30" s="65" t="s">
        <v>33</v>
      </c>
      <c r="J30" s="65" t="s">
        <v>33</v>
      </c>
      <c r="K30" s="65" t="str">
        <f t="shared" si="1"/>
        <v>1TS1/8U-DE/*-*-1TS1/8U</v>
      </c>
      <c r="L30" s="64" t="str">
        <f>G30&amp;"-"&amp;"DE"</f>
        <v>1TS1/8U-DE</v>
      </c>
      <c r="M30" s="91" t="str">
        <f>"RTD-0"&amp;B9&amp;" VTP-0"&amp;B9&amp;" Bearing Temperature Drive End"</f>
        <v>RTD-01 VTP-01 Bearing Temperature Drive End</v>
      </c>
      <c r="N30" s="88"/>
    </row>
    <row r="31" spans="2:14" ht="30" customHeight="1" x14ac:dyDescent="0.45">
      <c r="B31" s="87"/>
      <c r="C31" s="88"/>
      <c r="D31" s="89"/>
      <c r="E31" s="88"/>
      <c r="F31" s="88"/>
      <c r="G31" s="65" t="str">
        <f>"1TS"&amp;B9&amp;"/"&amp;LEFT(E30,1)&amp;"M"</f>
        <v>1TS1/8M</v>
      </c>
      <c r="H31" s="65" t="str">
        <f t="shared" si="0"/>
        <v>1TS1/8M-*-*/1TS1/8M-DE</v>
      </c>
      <c r="I31" s="65" t="s">
        <v>33</v>
      </c>
      <c r="J31" s="65" t="s">
        <v>33</v>
      </c>
      <c r="K31" s="65" t="str">
        <f t="shared" si="1"/>
        <v>1TS1/8M-DE/*-*-1TS1/8M</v>
      </c>
      <c r="L31" s="64" t="str">
        <f t="shared" ref="L31:L32" si="17">G31&amp;"-"&amp;"DE"</f>
        <v>1TS1/8M-DE</v>
      </c>
      <c r="M31" s="91"/>
      <c r="N31" s="88"/>
    </row>
    <row r="32" spans="2:14" ht="30" customHeight="1" x14ac:dyDescent="0.45">
      <c r="B32" s="87"/>
      <c r="C32" s="88"/>
      <c r="D32" s="89"/>
      <c r="E32" s="88"/>
      <c r="F32" s="88"/>
      <c r="G32" s="65" t="str">
        <f>"1TS"&amp;B9&amp;"/"&amp;LEFT(E30,1)&amp;"L"</f>
        <v>1TS1/8L</v>
      </c>
      <c r="H32" s="65" t="str">
        <f t="shared" si="0"/>
        <v>1TS1/8L-*-*/1TS1/8L-DE</v>
      </c>
      <c r="I32" s="65" t="s">
        <v>33</v>
      </c>
      <c r="J32" s="65" t="s">
        <v>33</v>
      </c>
      <c r="K32" s="65" t="str">
        <f t="shared" si="1"/>
        <v>1TS1/8L-DE/*-*-1TS1/8L</v>
      </c>
      <c r="L32" s="64" t="str">
        <f t="shared" si="17"/>
        <v>1TS1/8L-DE</v>
      </c>
      <c r="M32" s="91"/>
      <c r="N32" s="88"/>
    </row>
    <row r="33" spans="2:14" ht="30" customHeight="1" x14ac:dyDescent="0.45">
      <c r="B33" s="87"/>
      <c r="C33" s="88"/>
      <c r="D33" s="89"/>
      <c r="E33" s="88" t="s">
        <v>339</v>
      </c>
      <c r="F33" s="88" t="s">
        <v>45</v>
      </c>
      <c r="G33" s="65" t="s">
        <v>45</v>
      </c>
      <c r="H33" s="65" t="s">
        <v>45</v>
      </c>
      <c r="I33" s="65" t="s">
        <v>45</v>
      </c>
      <c r="J33" s="65" t="s">
        <v>45</v>
      </c>
      <c r="K33" s="65" t="s">
        <v>45</v>
      </c>
      <c r="L33" s="69" t="s">
        <v>45</v>
      </c>
      <c r="M33" s="90" t="s">
        <v>34</v>
      </c>
      <c r="N33" s="88"/>
    </row>
    <row r="34" spans="2:14" ht="30" customHeight="1" x14ac:dyDescent="0.45">
      <c r="B34" s="87"/>
      <c r="C34" s="88"/>
      <c r="D34" s="89"/>
      <c r="E34" s="88"/>
      <c r="F34" s="88"/>
      <c r="G34" s="65" t="s">
        <v>45</v>
      </c>
      <c r="H34" s="65" t="s">
        <v>45</v>
      </c>
      <c r="I34" s="65" t="s">
        <v>45</v>
      </c>
      <c r="J34" s="65" t="s">
        <v>45</v>
      </c>
      <c r="K34" s="65" t="s">
        <v>45</v>
      </c>
      <c r="L34" s="69" t="s">
        <v>45</v>
      </c>
      <c r="M34" s="90"/>
      <c r="N34" s="88"/>
    </row>
    <row r="35" spans="2:14" ht="30" customHeight="1" x14ac:dyDescent="0.45">
      <c r="B35" s="87"/>
      <c r="C35" s="88"/>
      <c r="D35" s="89"/>
      <c r="E35" s="88"/>
      <c r="F35" s="88"/>
      <c r="G35" s="65" t="s">
        <v>45</v>
      </c>
      <c r="H35" s="65" t="s">
        <v>45</v>
      </c>
      <c r="I35" s="65" t="s">
        <v>45</v>
      </c>
      <c r="J35" s="65" t="s">
        <v>45</v>
      </c>
      <c r="K35" s="65" t="s">
        <v>45</v>
      </c>
      <c r="L35" s="69" t="s">
        <v>45</v>
      </c>
      <c r="M35" s="90"/>
      <c r="N35" s="88"/>
    </row>
    <row r="36" spans="2:14" ht="30" customHeight="1" x14ac:dyDescent="0.45">
      <c r="B36" s="87"/>
      <c r="C36" s="88"/>
      <c r="D36" s="89"/>
      <c r="E36" s="88" t="s">
        <v>340</v>
      </c>
      <c r="F36" s="88" t="s">
        <v>45</v>
      </c>
      <c r="G36" s="65" t="s">
        <v>45</v>
      </c>
      <c r="H36" s="65" t="s">
        <v>45</v>
      </c>
      <c r="I36" s="65" t="s">
        <v>45</v>
      </c>
      <c r="J36" s="65" t="s">
        <v>45</v>
      </c>
      <c r="K36" s="65" t="s">
        <v>45</v>
      </c>
      <c r="L36" s="69" t="s">
        <v>45</v>
      </c>
      <c r="M36" s="90" t="s">
        <v>34</v>
      </c>
      <c r="N36" s="88"/>
    </row>
    <row r="37" spans="2:14" ht="30" customHeight="1" x14ac:dyDescent="0.45">
      <c r="B37" s="87"/>
      <c r="C37" s="88"/>
      <c r="D37" s="89"/>
      <c r="E37" s="88"/>
      <c r="F37" s="88"/>
      <c r="G37" s="65" t="s">
        <v>45</v>
      </c>
      <c r="H37" s="65" t="s">
        <v>45</v>
      </c>
      <c r="I37" s="65" t="s">
        <v>45</v>
      </c>
      <c r="J37" s="65" t="s">
        <v>45</v>
      </c>
      <c r="K37" s="65" t="s">
        <v>45</v>
      </c>
      <c r="L37" s="69" t="s">
        <v>45</v>
      </c>
      <c r="M37" s="90"/>
      <c r="N37" s="88"/>
    </row>
    <row r="38" spans="2:14" ht="30" customHeight="1" x14ac:dyDescent="0.45">
      <c r="B38" s="87"/>
      <c r="C38" s="88"/>
      <c r="D38" s="89"/>
      <c r="E38" s="88"/>
      <c r="F38" s="88"/>
      <c r="G38" s="65" t="s">
        <v>45</v>
      </c>
      <c r="H38" s="65" t="s">
        <v>45</v>
      </c>
      <c r="I38" s="65" t="s">
        <v>45</v>
      </c>
      <c r="J38" s="65" t="s">
        <v>45</v>
      </c>
      <c r="K38" s="65" t="s">
        <v>45</v>
      </c>
      <c r="L38" s="69" t="s">
        <v>45</v>
      </c>
      <c r="M38" s="90"/>
      <c r="N38" s="88"/>
    </row>
    <row r="39" spans="2:14" ht="30" customHeight="1" x14ac:dyDescent="0.45">
      <c r="B39" s="87"/>
      <c r="C39" s="88"/>
      <c r="D39" s="89"/>
      <c r="E39" s="88" t="s">
        <v>341</v>
      </c>
      <c r="F39" s="88" t="s">
        <v>45</v>
      </c>
      <c r="G39" s="65" t="s">
        <v>45</v>
      </c>
      <c r="H39" s="65" t="s">
        <v>45</v>
      </c>
      <c r="I39" s="65" t="s">
        <v>45</v>
      </c>
      <c r="J39" s="65" t="s">
        <v>45</v>
      </c>
      <c r="K39" s="65" t="s">
        <v>45</v>
      </c>
      <c r="L39" s="69" t="s">
        <v>45</v>
      </c>
      <c r="M39" s="90" t="s">
        <v>34</v>
      </c>
      <c r="N39" s="88"/>
    </row>
    <row r="40" spans="2:14" ht="30" customHeight="1" x14ac:dyDescent="0.45">
      <c r="B40" s="87"/>
      <c r="C40" s="88"/>
      <c r="D40" s="89"/>
      <c r="E40" s="88"/>
      <c r="F40" s="88"/>
      <c r="G40" s="65" t="s">
        <v>45</v>
      </c>
      <c r="H40" s="65" t="s">
        <v>45</v>
      </c>
      <c r="I40" s="65" t="s">
        <v>45</v>
      </c>
      <c r="J40" s="65" t="s">
        <v>45</v>
      </c>
      <c r="K40" s="65" t="s">
        <v>45</v>
      </c>
      <c r="L40" s="69" t="s">
        <v>45</v>
      </c>
      <c r="M40" s="90"/>
      <c r="N40" s="88"/>
    </row>
    <row r="41" spans="2:14" ht="30" customHeight="1" x14ac:dyDescent="0.45">
      <c r="B41" s="87"/>
      <c r="C41" s="88"/>
      <c r="D41" s="89"/>
      <c r="E41" s="88"/>
      <c r="F41" s="88"/>
      <c r="G41" s="65" t="s">
        <v>45</v>
      </c>
      <c r="H41" s="65" t="s">
        <v>45</v>
      </c>
      <c r="I41" s="65" t="s">
        <v>45</v>
      </c>
      <c r="J41" s="65" t="s">
        <v>45</v>
      </c>
      <c r="K41" s="65" t="s">
        <v>45</v>
      </c>
      <c r="L41" s="69" t="s">
        <v>45</v>
      </c>
      <c r="M41" s="90"/>
      <c r="N41" s="88"/>
    </row>
    <row r="42" spans="2:14" ht="30" customHeight="1" x14ac:dyDescent="0.45">
      <c r="B42" s="87"/>
      <c r="C42" s="88"/>
      <c r="D42" s="89"/>
      <c r="E42" s="88" t="s">
        <v>342</v>
      </c>
      <c r="F42" s="88" t="s">
        <v>45</v>
      </c>
      <c r="G42" s="65" t="s">
        <v>45</v>
      </c>
      <c r="H42" s="65" t="s">
        <v>45</v>
      </c>
      <c r="I42" s="65" t="s">
        <v>45</v>
      </c>
      <c r="J42" s="65" t="s">
        <v>45</v>
      </c>
      <c r="K42" s="65" t="s">
        <v>45</v>
      </c>
      <c r="L42" s="69" t="s">
        <v>45</v>
      </c>
      <c r="M42" s="90" t="s">
        <v>34</v>
      </c>
      <c r="N42" s="88"/>
    </row>
    <row r="43" spans="2:14" ht="30" customHeight="1" x14ac:dyDescent="0.45">
      <c r="B43" s="87"/>
      <c r="C43" s="88"/>
      <c r="D43" s="89"/>
      <c r="E43" s="88"/>
      <c r="F43" s="88"/>
      <c r="G43" s="65" t="s">
        <v>45</v>
      </c>
      <c r="H43" s="65" t="s">
        <v>45</v>
      </c>
      <c r="I43" s="65" t="s">
        <v>45</v>
      </c>
      <c r="J43" s="65" t="s">
        <v>45</v>
      </c>
      <c r="K43" s="65" t="s">
        <v>45</v>
      </c>
      <c r="L43" s="69" t="s">
        <v>45</v>
      </c>
      <c r="M43" s="90"/>
      <c r="N43" s="88"/>
    </row>
    <row r="44" spans="2:14" ht="30" customHeight="1" x14ac:dyDescent="0.45">
      <c r="B44" s="87"/>
      <c r="C44" s="88"/>
      <c r="D44" s="89"/>
      <c r="E44" s="88"/>
      <c r="F44" s="88"/>
      <c r="G44" s="65" t="s">
        <v>45</v>
      </c>
      <c r="H44" s="65" t="s">
        <v>45</v>
      </c>
      <c r="I44" s="65" t="s">
        <v>45</v>
      </c>
      <c r="J44" s="65" t="s">
        <v>45</v>
      </c>
      <c r="K44" s="65" t="s">
        <v>45</v>
      </c>
      <c r="L44" s="69" t="s">
        <v>45</v>
      </c>
      <c r="M44" s="90"/>
      <c r="N44" s="88"/>
    </row>
    <row r="45" spans="2:14" ht="30" customHeight="1" x14ac:dyDescent="0.45">
      <c r="B45" s="87">
        <f>B9+1</f>
        <v>2</v>
      </c>
      <c r="C45" s="88" t="str">
        <f>"TS-0"&amp;B45</f>
        <v>TS-02</v>
      </c>
      <c r="D45" s="89" t="s">
        <v>379</v>
      </c>
      <c r="E45" s="88" t="s">
        <v>331</v>
      </c>
      <c r="F45" s="88" t="s">
        <v>371</v>
      </c>
      <c r="G45" s="65" t="str">
        <f>"1TS"&amp;B45&amp;"/"&amp;LEFT(E45,1)&amp;"U"</f>
        <v>1TS2/1U</v>
      </c>
      <c r="H45" s="65" t="str">
        <f>_xlfn.CONCAT(G45,"-",J45,"-",I45,"/",L45)</f>
        <v>1TS2/1U-*-*/1TS2/1U-R1</v>
      </c>
      <c r="I45" s="65" t="s">
        <v>33</v>
      </c>
      <c r="J45" s="65" t="s">
        <v>33</v>
      </c>
      <c r="K45" s="65" t="str">
        <f>_xlfn.CONCAT(L45,"/",J45,"-",I45,"-",G45)</f>
        <v>1TS2/1U-R1/*-*-1TS2/1U</v>
      </c>
      <c r="L45" s="64" t="str">
        <f>G45&amp;"-"&amp;RIGHT(M45,2)</f>
        <v>1TS2/1U-R1</v>
      </c>
      <c r="M45" s="91" t="str">
        <f>"RTD-0"&amp;B45&amp;" VTP-0"&amp;B45&amp;" Winding Temperature R1"</f>
        <v>RTD-02 VTP-02 Winding Temperature R1</v>
      </c>
      <c r="N45" s="88"/>
    </row>
    <row r="46" spans="2:14" ht="30" customHeight="1" x14ac:dyDescent="0.45">
      <c r="B46" s="87"/>
      <c r="C46" s="88"/>
      <c r="D46" s="89"/>
      <c r="E46" s="88"/>
      <c r="F46" s="88"/>
      <c r="G46" s="65" t="str">
        <f>"1TS"&amp;B45&amp;"/"&amp;LEFT(E45,1)&amp;"M"</f>
        <v>1TS2/1M</v>
      </c>
      <c r="H46" s="65" t="str">
        <f t="shared" ref="H46:H68" si="18">_xlfn.CONCAT(G46,"-",J46,"-",I46,"/",L46)</f>
        <v>1TS2/1M-*-*/1TS2/1M-R1</v>
      </c>
      <c r="I46" s="65" t="s">
        <v>33</v>
      </c>
      <c r="J46" s="65" t="s">
        <v>33</v>
      </c>
      <c r="K46" s="65" t="str">
        <f t="shared" ref="K46:K68" si="19">_xlfn.CONCAT(L46,"/",J46,"-",I46,"-",G46)</f>
        <v>1TS2/1M-R1/*-*-1TS2/1M</v>
      </c>
      <c r="L46" s="64" t="str">
        <f>G46&amp;"-"&amp;RIGHT(M45,2)</f>
        <v>1TS2/1M-R1</v>
      </c>
      <c r="M46" s="91"/>
      <c r="N46" s="88"/>
    </row>
    <row r="47" spans="2:14" ht="30" customHeight="1" x14ac:dyDescent="0.45">
      <c r="B47" s="87"/>
      <c r="C47" s="88"/>
      <c r="D47" s="89"/>
      <c r="E47" s="88"/>
      <c r="F47" s="88"/>
      <c r="G47" s="65" t="str">
        <f>"1TS"&amp;B45&amp;"/"&amp;LEFT(E45,1)&amp;"L"</f>
        <v>1TS2/1L</v>
      </c>
      <c r="H47" s="65" t="str">
        <f t="shared" si="18"/>
        <v>1TS2/1L-*-*/1TS2/1L-R1</v>
      </c>
      <c r="I47" s="65" t="s">
        <v>33</v>
      </c>
      <c r="J47" s="65" t="s">
        <v>33</v>
      </c>
      <c r="K47" s="65" t="str">
        <f t="shared" si="19"/>
        <v>1TS2/1L-R1/*-*-1TS2/1L</v>
      </c>
      <c r="L47" s="64" t="str">
        <f>G47&amp;"-"&amp;RIGHT(M45,2)</f>
        <v>1TS2/1L-R1</v>
      </c>
      <c r="M47" s="91"/>
      <c r="N47" s="88"/>
    </row>
    <row r="48" spans="2:14" ht="30" customHeight="1" x14ac:dyDescent="0.45">
      <c r="B48" s="87"/>
      <c r="C48" s="88"/>
      <c r="D48" s="89"/>
      <c r="E48" s="88" t="s">
        <v>332</v>
      </c>
      <c r="F48" s="88" t="s">
        <v>372</v>
      </c>
      <c r="G48" s="65" t="str">
        <f>"1TS"&amp;B45&amp;"/"&amp;LEFT(E48,1)&amp;"U"</f>
        <v>1TS2/2U</v>
      </c>
      <c r="H48" s="65" t="str">
        <f t="shared" si="18"/>
        <v>1TS2/2U-*-*/1TS2/2U-Y1</v>
      </c>
      <c r="I48" s="65" t="s">
        <v>33</v>
      </c>
      <c r="J48" s="65" t="s">
        <v>33</v>
      </c>
      <c r="K48" s="65" t="str">
        <f t="shared" si="19"/>
        <v>1TS2/2U-Y1/*-*-1TS2/2U</v>
      </c>
      <c r="L48" s="64" t="str">
        <f t="shared" ref="L48" si="20">G48&amp;"-"&amp;RIGHT(M48,2)</f>
        <v>1TS2/2U-Y1</v>
      </c>
      <c r="M48" s="91" t="str">
        <f>"RTD-0"&amp;B45&amp;" VTP-0"&amp;B45&amp;" Winding Temperature Y1"</f>
        <v>RTD-02 VTP-02 Winding Temperature Y1</v>
      </c>
      <c r="N48" s="88"/>
    </row>
    <row r="49" spans="2:14" ht="30" customHeight="1" x14ac:dyDescent="0.45">
      <c r="B49" s="87"/>
      <c r="C49" s="88"/>
      <c r="D49" s="89"/>
      <c r="E49" s="88"/>
      <c r="F49" s="88"/>
      <c r="G49" s="65" t="str">
        <f>"1TS"&amp;B45&amp;"/"&amp;LEFT(E48,1)&amp;"M"</f>
        <v>1TS2/2M</v>
      </c>
      <c r="H49" s="65" t="str">
        <f t="shared" si="18"/>
        <v>1TS2/2M-*-*/1TS2/2M-Y1</v>
      </c>
      <c r="I49" s="65" t="s">
        <v>33</v>
      </c>
      <c r="J49" s="65" t="s">
        <v>33</v>
      </c>
      <c r="K49" s="65" t="str">
        <f t="shared" si="19"/>
        <v>1TS2/2M-Y1/*-*-1TS2/2M</v>
      </c>
      <c r="L49" s="64" t="str">
        <f t="shared" ref="L49" si="21">G49&amp;"-"&amp;RIGHT(M48,2)</f>
        <v>1TS2/2M-Y1</v>
      </c>
      <c r="M49" s="91"/>
      <c r="N49" s="88"/>
    </row>
    <row r="50" spans="2:14" ht="30" customHeight="1" x14ac:dyDescent="0.45">
      <c r="B50" s="87"/>
      <c r="C50" s="88"/>
      <c r="D50" s="89"/>
      <c r="E50" s="88"/>
      <c r="F50" s="88"/>
      <c r="G50" s="65" t="str">
        <f>"1TS"&amp;B45&amp;"/"&amp;LEFT(E48,1)&amp;"L"</f>
        <v>1TS2/2L</v>
      </c>
      <c r="H50" s="65" t="str">
        <f t="shared" si="18"/>
        <v>1TS2/2L-*-*/1TS2/2L-Y1</v>
      </c>
      <c r="I50" s="65" t="s">
        <v>33</v>
      </c>
      <c r="J50" s="65" t="s">
        <v>33</v>
      </c>
      <c r="K50" s="65" t="str">
        <f t="shared" si="19"/>
        <v>1TS2/2L-Y1/*-*-1TS2/2L</v>
      </c>
      <c r="L50" s="64" t="str">
        <f t="shared" ref="L50" si="22">G50&amp;"-"&amp;RIGHT(M48,2)</f>
        <v>1TS2/2L-Y1</v>
      </c>
      <c r="M50" s="91"/>
      <c r="N50" s="88"/>
    </row>
    <row r="51" spans="2:14" ht="30" customHeight="1" x14ac:dyDescent="0.45">
      <c r="B51" s="87"/>
      <c r="C51" s="88"/>
      <c r="D51" s="89"/>
      <c r="E51" s="88" t="s">
        <v>333</v>
      </c>
      <c r="F51" s="88" t="s">
        <v>373</v>
      </c>
      <c r="G51" s="65" t="str">
        <f>"1TS"&amp;B45&amp;"/"&amp;LEFT(E51,1)&amp;"U"</f>
        <v>1TS2/3U</v>
      </c>
      <c r="H51" s="65" t="str">
        <f t="shared" si="18"/>
        <v>1TS2/3U-*-*/1TS2/3U-B1</v>
      </c>
      <c r="I51" s="65" t="s">
        <v>33</v>
      </c>
      <c r="J51" s="65" t="s">
        <v>33</v>
      </c>
      <c r="K51" s="65" t="str">
        <f t="shared" si="19"/>
        <v>1TS2/3U-B1/*-*-1TS2/3U</v>
      </c>
      <c r="L51" s="64" t="str">
        <f t="shared" ref="L51" si="23">G51&amp;"-"&amp;RIGHT(M51,2)</f>
        <v>1TS2/3U-B1</v>
      </c>
      <c r="M51" s="91" t="str">
        <f>"RTD-0"&amp;B45&amp;" VTP-0"&amp;B45&amp;" Winding Temperature B1"</f>
        <v>RTD-02 VTP-02 Winding Temperature B1</v>
      </c>
      <c r="N51" s="88"/>
    </row>
    <row r="52" spans="2:14" ht="30" customHeight="1" x14ac:dyDescent="0.45">
      <c r="B52" s="87"/>
      <c r="C52" s="88"/>
      <c r="D52" s="89"/>
      <c r="E52" s="88"/>
      <c r="F52" s="88"/>
      <c r="G52" s="65" t="str">
        <f>"1TS"&amp;B45&amp;"/"&amp;LEFT(E51,1)&amp;"M"</f>
        <v>1TS2/3M</v>
      </c>
      <c r="H52" s="65" t="str">
        <f t="shared" si="18"/>
        <v>1TS2/3M-*-*/1TS2/3M-B1</v>
      </c>
      <c r="I52" s="65" t="s">
        <v>33</v>
      </c>
      <c r="J52" s="65" t="s">
        <v>33</v>
      </c>
      <c r="K52" s="65" t="str">
        <f t="shared" si="19"/>
        <v>1TS2/3M-B1/*-*-1TS2/3M</v>
      </c>
      <c r="L52" s="64" t="str">
        <f t="shared" ref="L52" si="24">G52&amp;"-"&amp;RIGHT(M51,2)</f>
        <v>1TS2/3M-B1</v>
      </c>
      <c r="M52" s="91"/>
      <c r="N52" s="88"/>
    </row>
    <row r="53" spans="2:14" ht="30" customHeight="1" x14ac:dyDescent="0.45">
      <c r="B53" s="87"/>
      <c r="C53" s="88"/>
      <c r="D53" s="89"/>
      <c r="E53" s="88"/>
      <c r="F53" s="88"/>
      <c r="G53" s="65" t="str">
        <f>"1TS"&amp;B45&amp;"/"&amp;LEFT(E51,1)&amp;"L"</f>
        <v>1TS2/3L</v>
      </c>
      <c r="H53" s="65" t="str">
        <f t="shared" si="18"/>
        <v>1TS2/3L-*-*/1TS2/3L-B1</v>
      </c>
      <c r="I53" s="65" t="s">
        <v>33</v>
      </c>
      <c r="J53" s="65" t="s">
        <v>33</v>
      </c>
      <c r="K53" s="65" t="str">
        <f t="shared" si="19"/>
        <v>1TS2/3L-B1/*-*-1TS2/3L</v>
      </c>
      <c r="L53" s="64" t="str">
        <f t="shared" ref="L53" si="25">G53&amp;"-"&amp;RIGHT(M51,2)</f>
        <v>1TS2/3L-B1</v>
      </c>
      <c r="M53" s="91"/>
      <c r="N53" s="88"/>
    </row>
    <row r="54" spans="2:14" ht="30" customHeight="1" x14ac:dyDescent="0.45">
      <c r="B54" s="87"/>
      <c r="C54" s="88"/>
      <c r="D54" s="89"/>
      <c r="E54" s="88" t="s">
        <v>334</v>
      </c>
      <c r="F54" s="88" t="s">
        <v>374</v>
      </c>
      <c r="G54" s="65" t="str">
        <f>"1TS"&amp;B45&amp;"/"&amp;LEFT(E54,1)&amp;"U"</f>
        <v>1TS2/4U</v>
      </c>
      <c r="H54" s="65" t="str">
        <f t="shared" si="18"/>
        <v>1TS2/4U-*-*/1TS2/4U-R2</v>
      </c>
      <c r="I54" s="65" t="s">
        <v>33</v>
      </c>
      <c r="J54" s="65" t="s">
        <v>33</v>
      </c>
      <c r="K54" s="65" t="str">
        <f t="shared" si="19"/>
        <v>1TS2/4U-R2/*-*-1TS2/4U</v>
      </c>
      <c r="L54" s="64" t="str">
        <f t="shared" ref="L54" si="26">G54&amp;"-"&amp;RIGHT(M54,2)</f>
        <v>1TS2/4U-R2</v>
      </c>
      <c r="M54" s="91" t="str">
        <f>"RTD-0"&amp;B45&amp;" VTP-0"&amp;B45&amp;" Winding Temperature R2"</f>
        <v>RTD-02 VTP-02 Winding Temperature R2</v>
      </c>
      <c r="N54" s="88"/>
    </row>
    <row r="55" spans="2:14" ht="30" customHeight="1" x14ac:dyDescent="0.45">
      <c r="B55" s="87"/>
      <c r="C55" s="88"/>
      <c r="D55" s="89"/>
      <c r="E55" s="88"/>
      <c r="F55" s="88"/>
      <c r="G55" s="65" t="str">
        <f>"1TS"&amp;B45&amp;"/"&amp;LEFT(E54,1)&amp;"M"</f>
        <v>1TS2/4M</v>
      </c>
      <c r="H55" s="65" t="str">
        <f t="shared" si="18"/>
        <v>1TS2/4M-*-*/1TS2/4M-R2</v>
      </c>
      <c r="I55" s="65" t="s">
        <v>33</v>
      </c>
      <c r="J55" s="65" t="s">
        <v>33</v>
      </c>
      <c r="K55" s="65" t="str">
        <f t="shared" si="19"/>
        <v>1TS2/4M-R2/*-*-1TS2/4M</v>
      </c>
      <c r="L55" s="64" t="str">
        <f t="shared" ref="L55" si="27">G55&amp;"-"&amp;RIGHT(M54,2)</f>
        <v>1TS2/4M-R2</v>
      </c>
      <c r="M55" s="91"/>
      <c r="N55" s="88"/>
    </row>
    <row r="56" spans="2:14" ht="30" customHeight="1" x14ac:dyDescent="0.45">
      <c r="B56" s="87"/>
      <c r="C56" s="88"/>
      <c r="D56" s="89"/>
      <c r="E56" s="88"/>
      <c r="F56" s="88"/>
      <c r="G56" s="65" t="str">
        <f>"1TS"&amp;B45&amp;"/"&amp;LEFT(E54,1)&amp;"L"</f>
        <v>1TS2/4L</v>
      </c>
      <c r="H56" s="65" t="str">
        <f t="shared" si="18"/>
        <v>1TS2/4L-*-*/1TS2/4L-R2</v>
      </c>
      <c r="I56" s="65" t="s">
        <v>33</v>
      </c>
      <c r="J56" s="65" t="s">
        <v>33</v>
      </c>
      <c r="K56" s="65" t="str">
        <f t="shared" si="19"/>
        <v>1TS2/4L-R2/*-*-1TS2/4L</v>
      </c>
      <c r="L56" s="64" t="str">
        <f t="shared" ref="L56" si="28">G56&amp;"-"&amp;RIGHT(M54,2)</f>
        <v>1TS2/4L-R2</v>
      </c>
      <c r="M56" s="91"/>
      <c r="N56" s="88"/>
    </row>
    <row r="57" spans="2:14" ht="30" customHeight="1" x14ac:dyDescent="0.45">
      <c r="B57" s="87"/>
      <c r="C57" s="88"/>
      <c r="D57" s="89"/>
      <c r="E57" s="88" t="s">
        <v>335</v>
      </c>
      <c r="F57" s="88" t="s">
        <v>375</v>
      </c>
      <c r="G57" s="65" t="str">
        <f>"1TS"&amp;B45&amp;"/"&amp;LEFT(E57,1)&amp;"U"</f>
        <v>1TS2/5U</v>
      </c>
      <c r="H57" s="65" t="str">
        <f t="shared" si="18"/>
        <v>1TS2/5U-*-*/1TS2/5U-Y2</v>
      </c>
      <c r="I57" s="65" t="s">
        <v>33</v>
      </c>
      <c r="J57" s="65" t="s">
        <v>33</v>
      </c>
      <c r="K57" s="65" t="str">
        <f t="shared" si="19"/>
        <v>1TS2/5U-Y2/*-*-1TS2/5U</v>
      </c>
      <c r="L57" s="64" t="str">
        <f t="shared" ref="L57" si="29">G57&amp;"-"&amp;RIGHT(M57,2)</f>
        <v>1TS2/5U-Y2</v>
      </c>
      <c r="M57" s="91" t="str">
        <f>"RTD-0"&amp;B45&amp;" VTP-0"&amp;B45&amp;" Winding Temperature Y2"</f>
        <v>RTD-02 VTP-02 Winding Temperature Y2</v>
      </c>
      <c r="N57" s="88"/>
    </row>
    <row r="58" spans="2:14" ht="30" customHeight="1" x14ac:dyDescent="0.45">
      <c r="B58" s="87"/>
      <c r="C58" s="88"/>
      <c r="D58" s="89"/>
      <c r="E58" s="88"/>
      <c r="F58" s="88"/>
      <c r="G58" s="65" t="str">
        <f>"1TS"&amp;B45&amp;"/"&amp;LEFT(E57,1)&amp;"M"</f>
        <v>1TS2/5M</v>
      </c>
      <c r="H58" s="65" t="str">
        <f t="shared" si="18"/>
        <v>1TS2/5M-*-*/1TS2/5M-Y2</v>
      </c>
      <c r="I58" s="65" t="s">
        <v>33</v>
      </c>
      <c r="J58" s="65" t="s">
        <v>33</v>
      </c>
      <c r="K58" s="65" t="str">
        <f t="shared" si="19"/>
        <v>1TS2/5M-Y2/*-*-1TS2/5M</v>
      </c>
      <c r="L58" s="64" t="str">
        <f t="shared" ref="L58" si="30">G58&amp;"-"&amp;RIGHT(M57,2)</f>
        <v>1TS2/5M-Y2</v>
      </c>
      <c r="M58" s="91"/>
      <c r="N58" s="88"/>
    </row>
    <row r="59" spans="2:14" ht="30" customHeight="1" x14ac:dyDescent="0.45">
      <c r="B59" s="87"/>
      <c r="C59" s="88"/>
      <c r="D59" s="89"/>
      <c r="E59" s="88"/>
      <c r="F59" s="88"/>
      <c r="G59" s="65" t="str">
        <f>"1TS"&amp;B45&amp;"/"&amp;LEFT(E57,1)&amp;"L"</f>
        <v>1TS2/5L</v>
      </c>
      <c r="H59" s="65" t="str">
        <f t="shared" si="18"/>
        <v>1TS2/5L-*-*/1TS2/5L-Y2</v>
      </c>
      <c r="I59" s="65" t="s">
        <v>33</v>
      </c>
      <c r="J59" s="65" t="s">
        <v>33</v>
      </c>
      <c r="K59" s="65" t="str">
        <f t="shared" si="19"/>
        <v>1TS2/5L-Y2/*-*-1TS2/5L</v>
      </c>
      <c r="L59" s="64" t="str">
        <f t="shared" ref="L59" si="31">G59&amp;"-"&amp;RIGHT(M57,2)</f>
        <v>1TS2/5L-Y2</v>
      </c>
      <c r="M59" s="91"/>
      <c r="N59" s="88"/>
    </row>
    <row r="60" spans="2:14" ht="30" customHeight="1" x14ac:dyDescent="0.45">
      <c r="B60" s="87"/>
      <c r="C60" s="88"/>
      <c r="D60" s="89"/>
      <c r="E60" s="88" t="s">
        <v>336</v>
      </c>
      <c r="F60" s="88" t="s">
        <v>376</v>
      </c>
      <c r="G60" s="65" t="str">
        <f>"1TS"&amp;B45&amp;"/"&amp;LEFT(E60,1)&amp;"U"</f>
        <v>1TS2/6U</v>
      </c>
      <c r="H60" s="65" t="str">
        <f t="shared" si="18"/>
        <v>1TS2/6U-*-*/1TS2/6U-B2</v>
      </c>
      <c r="I60" s="65" t="s">
        <v>33</v>
      </c>
      <c r="J60" s="65" t="s">
        <v>33</v>
      </c>
      <c r="K60" s="65" t="str">
        <f t="shared" si="19"/>
        <v>1TS2/6U-B2/*-*-1TS2/6U</v>
      </c>
      <c r="L60" s="64" t="str">
        <f t="shared" ref="L60" si="32">G60&amp;"-"&amp;RIGHT(M60,2)</f>
        <v>1TS2/6U-B2</v>
      </c>
      <c r="M60" s="91" t="str">
        <f>"RTD-0"&amp;B45&amp;" VTP-0"&amp;B45&amp;" Winding Temperature B2"</f>
        <v>RTD-02 VTP-02 Winding Temperature B2</v>
      </c>
      <c r="N60" s="88"/>
    </row>
    <row r="61" spans="2:14" ht="30" customHeight="1" x14ac:dyDescent="0.45">
      <c r="B61" s="87"/>
      <c r="C61" s="88"/>
      <c r="D61" s="89"/>
      <c r="E61" s="88"/>
      <c r="F61" s="88"/>
      <c r="G61" s="65" t="str">
        <f>"1TS"&amp;B45&amp;"/"&amp;LEFT(E60,1)&amp;"M"</f>
        <v>1TS2/6M</v>
      </c>
      <c r="H61" s="65" t="str">
        <f t="shared" si="18"/>
        <v>1TS2/6M-*-*/1TS2/6M-B2</v>
      </c>
      <c r="I61" s="65" t="s">
        <v>33</v>
      </c>
      <c r="J61" s="65" t="s">
        <v>33</v>
      </c>
      <c r="K61" s="65" t="str">
        <f t="shared" si="19"/>
        <v>1TS2/6M-B2/*-*-1TS2/6M</v>
      </c>
      <c r="L61" s="64" t="str">
        <f t="shared" ref="L61" si="33">G61&amp;"-"&amp;RIGHT(M60,2)</f>
        <v>1TS2/6M-B2</v>
      </c>
      <c r="M61" s="91"/>
      <c r="N61" s="88"/>
    </row>
    <row r="62" spans="2:14" ht="30" customHeight="1" x14ac:dyDescent="0.45">
      <c r="B62" s="87"/>
      <c r="C62" s="88"/>
      <c r="D62" s="89"/>
      <c r="E62" s="88"/>
      <c r="F62" s="88"/>
      <c r="G62" s="65" t="str">
        <f>"1TS"&amp;B45&amp;"/"&amp;LEFT(E60,1)&amp;"L"</f>
        <v>1TS2/6L</v>
      </c>
      <c r="H62" s="65" t="str">
        <f t="shared" si="18"/>
        <v>1TS2/6L-*-*/1TS2/6L-B2</v>
      </c>
      <c r="I62" s="65" t="s">
        <v>33</v>
      </c>
      <c r="J62" s="65" t="s">
        <v>33</v>
      </c>
      <c r="K62" s="65" t="str">
        <f t="shared" si="19"/>
        <v>1TS2/6L-B2/*-*-1TS2/6L</v>
      </c>
      <c r="L62" s="64" t="str">
        <f t="shared" ref="L62" si="34">G62&amp;"-"&amp;RIGHT(M60,2)</f>
        <v>1TS2/6L-B2</v>
      </c>
      <c r="M62" s="91"/>
      <c r="N62" s="88"/>
    </row>
    <row r="63" spans="2:14" ht="30" customHeight="1" x14ac:dyDescent="0.45">
      <c r="B63" s="87"/>
      <c r="C63" s="88"/>
      <c r="D63" s="89"/>
      <c r="E63" s="88" t="s">
        <v>337</v>
      </c>
      <c r="F63" s="88" t="s">
        <v>377</v>
      </c>
      <c r="G63" s="65" t="str">
        <f>"1TS"&amp;B45&amp;"/"&amp;LEFT(E63,1)&amp;"U"</f>
        <v>1TS2/7U</v>
      </c>
      <c r="H63" s="65" t="str">
        <f t="shared" si="18"/>
        <v>1TS2/7U-*-*/1TS2/7U-NDE</v>
      </c>
      <c r="I63" s="65" t="s">
        <v>33</v>
      </c>
      <c r="J63" s="65" t="s">
        <v>33</v>
      </c>
      <c r="K63" s="65" t="str">
        <f t="shared" si="19"/>
        <v>1TS2/7U-NDE/*-*-1TS2/7U</v>
      </c>
      <c r="L63" s="64" t="str">
        <f>G63&amp;"-"&amp;"NDE"</f>
        <v>1TS2/7U-NDE</v>
      </c>
      <c r="M63" s="91" t="str">
        <f>"RTD-0"&amp;B45&amp;" VTP-0"&amp;B45&amp;" Bearing Temperature Non-Drive End"</f>
        <v>RTD-02 VTP-02 Bearing Temperature Non-Drive End</v>
      </c>
      <c r="N63" s="88"/>
    </row>
    <row r="64" spans="2:14" ht="30" customHeight="1" x14ac:dyDescent="0.45">
      <c r="B64" s="87"/>
      <c r="C64" s="88"/>
      <c r="D64" s="89"/>
      <c r="E64" s="88"/>
      <c r="F64" s="88"/>
      <c r="G64" s="65" t="str">
        <f>"1TS"&amp;B45&amp;"/"&amp;LEFT(E63,1)&amp;"M"</f>
        <v>1TS2/7M</v>
      </c>
      <c r="H64" s="65" t="str">
        <f t="shared" si="18"/>
        <v>1TS2/7M-*-*/1TS2/7M-NDE</v>
      </c>
      <c r="I64" s="65" t="s">
        <v>33</v>
      </c>
      <c r="J64" s="65" t="s">
        <v>33</v>
      </c>
      <c r="K64" s="65" t="str">
        <f t="shared" si="19"/>
        <v>1TS2/7M-NDE/*-*-1TS2/7M</v>
      </c>
      <c r="L64" s="64" t="str">
        <f>G64&amp;"-"&amp;"NDE"</f>
        <v>1TS2/7M-NDE</v>
      </c>
      <c r="M64" s="91"/>
      <c r="N64" s="88"/>
    </row>
    <row r="65" spans="2:14" ht="30" customHeight="1" x14ac:dyDescent="0.45">
      <c r="B65" s="87"/>
      <c r="C65" s="88"/>
      <c r="D65" s="89"/>
      <c r="E65" s="88"/>
      <c r="F65" s="88"/>
      <c r="G65" s="65" t="str">
        <f>"1TS"&amp;B45&amp;"/"&amp;LEFT(E63,1)&amp;"L"</f>
        <v>1TS2/7L</v>
      </c>
      <c r="H65" s="65" t="str">
        <f t="shared" si="18"/>
        <v>1TS2/7L-*-*/1TS2/7L-NDE</v>
      </c>
      <c r="I65" s="65" t="s">
        <v>33</v>
      </c>
      <c r="J65" s="65" t="s">
        <v>33</v>
      </c>
      <c r="K65" s="65" t="str">
        <f t="shared" si="19"/>
        <v>1TS2/7L-NDE/*-*-1TS2/7L</v>
      </c>
      <c r="L65" s="64" t="str">
        <f>G65&amp;"-"&amp;"NDE"</f>
        <v>1TS2/7L-NDE</v>
      </c>
      <c r="M65" s="91"/>
      <c r="N65" s="88"/>
    </row>
    <row r="66" spans="2:14" ht="30" customHeight="1" x14ac:dyDescent="0.45">
      <c r="B66" s="87"/>
      <c r="C66" s="88"/>
      <c r="D66" s="89"/>
      <c r="E66" s="88" t="s">
        <v>338</v>
      </c>
      <c r="F66" s="88" t="s">
        <v>378</v>
      </c>
      <c r="G66" s="65" t="str">
        <f>"1TS"&amp;B45&amp;"/"&amp;LEFT(E66,1)&amp;"U"</f>
        <v>1TS2/8U</v>
      </c>
      <c r="H66" s="65" t="str">
        <f t="shared" si="18"/>
        <v>1TS2/8U-*-*/1TS2/8U-DE</v>
      </c>
      <c r="I66" s="65" t="s">
        <v>33</v>
      </c>
      <c r="J66" s="65" t="s">
        <v>33</v>
      </c>
      <c r="K66" s="65" t="str">
        <f t="shared" si="19"/>
        <v>1TS2/8U-DE/*-*-1TS2/8U</v>
      </c>
      <c r="L66" s="64" t="str">
        <f>G66&amp;"-"&amp;"DE"</f>
        <v>1TS2/8U-DE</v>
      </c>
      <c r="M66" s="91" t="str">
        <f>"RTD-0"&amp;B45&amp;" VTP-0"&amp;B45&amp;" Bearing Temperature Drive End"</f>
        <v>RTD-02 VTP-02 Bearing Temperature Drive End</v>
      </c>
      <c r="N66" s="88"/>
    </row>
    <row r="67" spans="2:14" ht="30" customHeight="1" x14ac:dyDescent="0.45">
      <c r="B67" s="87"/>
      <c r="C67" s="88"/>
      <c r="D67" s="89"/>
      <c r="E67" s="88"/>
      <c r="F67" s="88"/>
      <c r="G67" s="65" t="str">
        <f>"1TS"&amp;B45&amp;"/"&amp;LEFT(E66,1)&amp;"M"</f>
        <v>1TS2/8M</v>
      </c>
      <c r="H67" s="65" t="str">
        <f t="shared" si="18"/>
        <v>1TS2/8M-*-*/1TS2/8M-DE</v>
      </c>
      <c r="I67" s="65" t="s">
        <v>33</v>
      </c>
      <c r="J67" s="65" t="s">
        <v>33</v>
      </c>
      <c r="K67" s="65" t="str">
        <f t="shared" si="19"/>
        <v>1TS2/8M-DE/*-*-1TS2/8M</v>
      </c>
      <c r="L67" s="64" t="str">
        <f t="shared" ref="L67:L68" si="35">G67&amp;"-"&amp;"DE"</f>
        <v>1TS2/8M-DE</v>
      </c>
      <c r="M67" s="91"/>
      <c r="N67" s="88"/>
    </row>
    <row r="68" spans="2:14" ht="30" customHeight="1" x14ac:dyDescent="0.45">
      <c r="B68" s="87"/>
      <c r="C68" s="88"/>
      <c r="D68" s="89"/>
      <c r="E68" s="88"/>
      <c r="F68" s="88"/>
      <c r="G68" s="65" t="str">
        <f>"1TS"&amp;B45&amp;"/"&amp;LEFT(E66,1)&amp;"L"</f>
        <v>1TS2/8L</v>
      </c>
      <c r="H68" s="65" t="str">
        <f t="shared" si="18"/>
        <v>1TS2/8L-*-*/1TS2/8L-DE</v>
      </c>
      <c r="I68" s="65" t="s">
        <v>33</v>
      </c>
      <c r="J68" s="65" t="s">
        <v>33</v>
      </c>
      <c r="K68" s="65" t="str">
        <f t="shared" si="19"/>
        <v>1TS2/8L-DE/*-*-1TS2/8L</v>
      </c>
      <c r="L68" s="64" t="str">
        <f t="shared" si="35"/>
        <v>1TS2/8L-DE</v>
      </c>
      <c r="M68" s="91"/>
      <c r="N68" s="88"/>
    </row>
    <row r="69" spans="2:14" ht="30" customHeight="1" x14ac:dyDescent="0.45">
      <c r="B69" s="87"/>
      <c r="C69" s="88"/>
      <c r="D69" s="89"/>
      <c r="E69" s="88" t="s">
        <v>339</v>
      </c>
      <c r="F69" s="88" t="s">
        <v>45</v>
      </c>
      <c r="G69" s="65" t="s">
        <v>45</v>
      </c>
      <c r="H69" s="65" t="s">
        <v>45</v>
      </c>
      <c r="I69" s="65" t="s">
        <v>45</v>
      </c>
      <c r="J69" s="65" t="s">
        <v>45</v>
      </c>
      <c r="K69" s="65" t="s">
        <v>45</v>
      </c>
      <c r="L69" s="69" t="s">
        <v>45</v>
      </c>
      <c r="M69" s="90" t="s">
        <v>34</v>
      </c>
      <c r="N69" s="88"/>
    </row>
    <row r="70" spans="2:14" ht="30" customHeight="1" x14ac:dyDescent="0.45">
      <c r="B70" s="87"/>
      <c r="C70" s="88"/>
      <c r="D70" s="89"/>
      <c r="E70" s="88"/>
      <c r="F70" s="88"/>
      <c r="G70" s="65" t="s">
        <v>45</v>
      </c>
      <c r="H70" s="65" t="s">
        <v>45</v>
      </c>
      <c r="I70" s="65" t="s">
        <v>45</v>
      </c>
      <c r="J70" s="65" t="s">
        <v>45</v>
      </c>
      <c r="K70" s="65" t="s">
        <v>45</v>
      </c>
      <c r="L70" s="69" t="s">
        <v>45</v>
      </c>
      <c r="M70" s="90"/>
      <c r="N70" s="88"/>
    </row>
    <row r="71" spans="2:14" ht="30" customHeight="1" x14ac:dyDescent="0.45">
      <c r="B71" s="87"/>
      <c r="C71" s="88"/>
      <c r="D71" s="89"/>
      <c r="E71" s="88"/>
      <c r="F71" s="88"/>
      <c r="G71" s="65" t="s">
        <v>45</v>
      </c>
      <c r="H71" s="65" t="s">
        <v>45</v>
      </c>
      <c r="I71" s="65" t="s">
        <v>45</v>
      </c>
      <c r="J71" s="65" t="s">
        <v>45</v>
      </c>
      <c r="K71" s="65" t="s">
        <v>45</v>
      </c>
      <c r="L71" s="69" t="s">
        <v>45</v>
      </c>
      <c r="M71" s="90"/>
      <c r="N71" s="88"/>
    </row>
    <row r="72" spans="2:14" ht="30" customHeight="1" x14ac:dyDescent="0.45">
      <c r="B72" s="87"/>
      <c r="C72" s="88"/>
      <c r="D72" s="89"/>
      <c r="E72" s="88" t="s">
        <v>340</v>
      </c>
      <c r="F72" s="88" t="s">
        <v>45</v>
      </c>
      <c r="G72" s="65" t="s">
        <v>45</v>
      </c>
      <c r="H72" s="65" t="s">
        <v>45</v>
      </c>
      <c r="I72" s="65" t="s">
        <v>45</v>
      </c>
      <c r="J72" s="65" t="s">
        <v>45</v>
      </c>
      <c r="K72" s="65" t="s">
        <v>45</v>
      </c>
      <c r="L72" s="69" t="s">
        <v>45</v>
      </c>
      <c r="M72" s="90" t="s">
        <v>34</v>
      </c>
      <c r="N72" s="88"/>
    </row>
    <row r="73" spans="2:14" ht="30" customHeight="1" x14ac:dyDescent="0.45">
      <c r="B73" s="87"/>
      <c r="C73" s="88"/>
      <c r="D73" s="89"/>
      <c r="E73" s="88"/>
      <c r="F73" s="88"/>
      <c r="G73" s="65" t="s">
        <v>45</v>
      </c>
      <c r="H73" s="65" t="s">
        <v>45</v>
      </c>
      <c r="I73" s="65" t="s">
        <v>45</v>
      </c>
      <c r="J73" s="65" t="s">
        <v>45</v>
      </c>
      <c r="K73" s="65" t="s">
        <v>45</v>
      </c>
      <c r="L73" s="69" t="s">
        <v>45</v>
      </c>
      <c r="M73" s="90"/>
      <c r="N73" s="88"/>
    </row>
    <row r="74" spans="2:14" ht="30" customHeight="1" x14ac:dyDescent="0.45">
      <c r="B74" s="87"/>
      <c r="C74" s="88"/>
      <c r="D74" s="89"/>
      <c r="E74" s="88"/>
      <c r="F74" s="88"/>
      <c r="G74" s="65" t="s">
        <v>45</v>
      </c>
      <c r="H74" s="65" t="s">
        <v>45</v>
      </c>
      <c r="I74" s="65" t="s">
        <v>45</v>
      </c>
      <c r="J74" s="65" t="s">
        <v>45</v>
      </c>
      <c r="K74" s="65" t="s">
        <v>45</v>
      </c>
      <c r="L74" s="69" t="s">
        <v>45</v>
      </c>
      <c r="M74" s="90"/>
      <c r="N74" s="88"/>
    </row>
    <row r="75" spans="2:14" ht="30" customHeight="1" x14ac:dyDescent="0.45">
      <c r="B75" s="87"/>
      <c r="C75" s="88"/>
      <c r="D75" s="89"/>
      <c r="E75" s="88" t="s">
        <v>341</v>
      </c>
      <c r="F75" s="88" t="s">
        <v>45</v>
      </c>
      <c r="G75" s="65" t="s">
        <v>45</v>
      </c>
      <c r="H75" s="65" t="s">
        <v>45</v>
      </c>
      <c r="I75" s="65" t="s">
        <v>45</v>
      </c>
      <c r="J75" s="65" t="s">
        <v>45</v>
      </c>
      <c r="K75" s="65" t="s">
        <v>45</v>
      </c>
      <c r="L75" s="69" t="s">
        <v>45</v>
      </c>
      <c r="M75" s="90" t="s">
        <v>34</v>
      </c>
      <c r="N75" s="88"/>
    </row>
    <row r="76" spans="2:14" ht="30" customHeight="1" x14ac:dyDescent="0.45">
      <c r="B76" s="87"/>
      <c r="C76" s="88"/>
      <c r="D76" s="89"/>
      <c r="E76" s="88"/>
      <c r="F76" s="88"/>
      <c r="G76" s="65" t="s">
        <v>45</v>
      </c>
      <c r="H76" s="65" t="s">
        <v>45</v>
      </c>
      <c r="I76" s="65" t="s">
        <v>45</v>
      </c>
      <c r="J76" s="65" t="s">
        <v>45</v>
      </c>
      <c r="K76" s="65" t="s">
        <v>45</v>
      </c>
      <c r="L76" s="69" t="s">
        <v>45</v>
      </c>
      <c r="M76" s="90"/>
      <c r="N76" s="88"/>
    </row>
    <row r="77" spans="2:14" ht="30" customHeight="1" x14ac:dyDescent="0.45">
      <c r="B77" s="87"/>
      <c r="C77" s="88"/>
      <c r="D77" s="89"/>
      <c r="E77" s="88"/>
      <c r="F77" s="88"/>
      <c r="G77" s="65" t="s">
        <v>45</v>
      </c>
      <c r="H77" s="65" t="s">
        <v>45</v>
      </c>
      <c r="I77" s="65" t="s">
        <v>45</v>
      </c>
      <c r="J77" s="65" t="s">
        <v>45</v>
      </c>
      <c r="K77" s="65" t="s">
        <v>45</v>
      </c>
      <c r="L77" s="69" t="s">
        <v>45</v>
      </c>
      <c r="M77" s="90"/>
      <c r="N77" s="88"/>
    </row>
    <row r="78" spans="2:14" ht="30" customHeight="1" x14ac:dyDescent="0.45">
      <c r="B78" s="87"/>
      <c r="C78" s="88"/>
      <c r="D78" s="89"/>
      <c r="E78" s="88" t="s">
        <v>342</v>
      </c>
      <c r="F78" s="88" t="s">
        <v>45</v>
      </c>
      <c r="G78" s="65" t="s">
        <v>45</v>
      </c>
      <c r="H78" s="65" t="s">
        <v>45</v>
      </c>
      <c r="I78" s="65" t="s">
        <v>45</v>
      </c>
      <c r="J78" s="65" t="s">
        <v>45</v>
      </c>
      <c r="K78" s="65" t="s">
        <v>45</v>
      </c>
      <c r="L78" s="69" t="s">
        <v>45</v>
      </c>
      <c r="M78" s="90" t="s">
        <v>34</v>
      </c>
      <c r="N78" s="88"/>
    </row>
    <row r="79" spans="2:14" ht="30" customHeight="1" x14ac:dyDescent="0.45">
      <c r="B79" s="87"/>
      <c r="C79" s="88"/>
      <c r="D79" s="89"/>
      <c r="E79" s="88"/>
      <c r="F79" s="88"/>
      <c r="G79" s="65" t="s">
        <v>45</v>
      </c>
      <c r="H79" s="65" t="s">
        <v>45</v>
      </c>
      <c r="I79" s="65" t="s">
        <v>45</v>
      </c>
      <c r="J79" s="65" t="s">
        <v>45</v>
      </c>
      <c r="K79" s="65" t="s">
        <v>45</v>
      </c>
      <c r="L79" s="69" t="s">
        <v>45</v>
      </c>
      <c r="M79" s="90"/>
      <c r="N79" s="88"/>
    </row>
    <row r="80" spans="2:14" ht="30" customHeight="1" x14ac:dyDescent="0.45">
      <c r="B80" s="87"/>
      <c r="C80" s="88"/>
      <c r="D80" s="89"/>
      <c r="E80" s="88"/>
      <c r="F80" s="88"/>
      <c r="G80" s="65" t="s">
        <v>45</v>
      </c>
      <c r="H80" s="65" t="s">
        <v>45</v>
      </c>
      <c r="I80" s="65" t="s">
        <v>45</v>
      </c>
      <c r="J80" s="65" t="s">
        <v>45</v>
      </c>
      <c r="K80" s="65" t="s">
        <v>45</v>
      </c>
      <c r="L80" s="69" t="s">
        <v>45</v>
      </c>
      <c r="M80" s="90"/>
      <c r="N80" s="88"/>
    </row>
    <row r="81" spans="2:14" ht="30" customHeight="1" x14ac:dyDescent="0.45">
      <c r="B81" s="87">
        <f>B45+1</f>
        <v>3</v>
      </c>
      <c r="C81" s="88" t="str">
        <f>"TS-0"&amp;B81</f>
        <v>TS-03</v>
      </c>
      <c r="D81" s="89" t="s">
        <v>379</v>
      </c>
      <c r="E81" s="88" t="s">
        <v>331</v>
      </c>
      <c r="F81" s="88" t="s">
        <v>380</v>
      </c>
      <c r="G81" s="65" t="str">
        <f>"1TS"&amp;B81&amp;"/"&amp;LEFT(E81,1)&amp;"U"</f>
        <v>1TS3/1U</v>
      </c>
      <c r="H81" s="65" t="str">
        <f>_xlfn.CONCAT(G81,"-",J81,"-",I81,"/",L81)</f>
        <v>1TS3/1U-*-*/1TS3/1U-R1</v>
      </c>
      <c r="I81" s="65" t="s">
        <v>33</v>
      </c>
      <c r="J81" s="65" t="s">
        <v>33</v>
      </c>
      <c r="K81" s="65" t="str">
        <f>_xlfn.CONCAT(L81,"/",J81,"-",I81,"-",G81)</f>
        <v>1TS3/1U-R1/*-*-1TS3/1U</v>
      </c>
      <c r="L81" s="64" t="str">
        <f>G81&amp;"-"&amp;RIGHT(M81,2)</f>
        <v>1TS3/1U-R1</v>
      </c>
      <c r="M81" s="91" t="str">
        <f>"RTD-0"&amp;B81&amp;" VTP-0"&amp;B81&amp;" Winding Temperature R1"</f>
        <v>RTD-03 VTP-03 Winding Temperature R1</v>
      </c>
      <c r="N81" s="88"/>
    </row>
    <row r="82" spans="2:14" ht="30" customHeight="1" x14ac:dyDescent="0.45">
      <c r="B82" s="87"/>
      <c r="C82" s="88"/>
      <c r="D82" s="89"/>
      <c r="E82" s="88"/>
      <c r="F82" s="88"/>
      <c r="G82" s="65" t="str">
        <f>"1TS"&amp;B81&amp;"/"&amp;LEFT(E81,1)&amp;"M"</f>
        <v>1TS3/1M</v>
      </c>
      <c r="H82" s="65" t="str">
        <f t="shared" ref="H82:H104" si="36">_xlfn.CONCAT(G82,"-",J82,"-",I82,"/",L82)</f>
        <v>1TS3/1M-*-*/1TS3/1M-R1</v>
      </c>
      <c r="I82" s="65" t="s">
        <v>33</v>
      </c>
      <c r="J82" s="65" t="s">
        <v>33</v>
      </c>
      <c r="K82" s="65" t="str">
        <f t="shared" ref="K82:K104" si="37">_xlfn.CONCAT(L82,"/",J82,"-",I82,"-",G82)</f>
        <v>1TS3/1M-R1/*-*-1TS3/1M</v>
      </c>
      <c r="L82" s="64" t="str">
        <f>G82&amp;"-"&amp;RIGHT(M81,2)</f>
        <v>1TS3/1M-R1</v>
      </c>
      <c r="M82" s="91"/>
      <c r="N82" s="88"/>
    </row>
    <row r="83" spans="2:14" ht="30" customHeight="1" x14ac:dyDescent="0.45">
      <c r="B83" s="87"/>
      <c r="C83" s="88"/>
      <c r="D83" s="89"/>
      <c r="E83" s="88"/>
      <c r="F83" s="88"/>
      <c r="G83" s="65" t="str">
        <f>"1TS"&amp;B81&amp;"/"&amp;LEFT(E81,1)&amp;"L"</f>
        <v>1TS3/1L</v>
      </c>
      <c r="H83" s="65" t="str">
        <f t="shared" si="36"/>
        <v>1TS3/1L-*-*/1TS3/1L-R1</v>
      </c>
      <c r="I83" s="65" t="s">
        <v>33</v>
      </c>
      <c r="J83" s="65" t="s">
        <v>33</v>
      </c>
      <c r="K83" s="65" t="str">
        <f t="shared" si="37"/>
        <v>1TS3/1L-R1/*-*-1TS3/1L</v>
      </c>
      <c r="L83" s="64" t="str">
        <f>G83&amp;"-"&amp;RIGHT(M81,2)</f>
        <v>1TS3/1L-R1</v>
      </c>
      <c r="M83" s="91"/>
      <c r="N83" s="88"/>
    </row>
    <row r="84" spans="2:14" ht="30" customHeight="1" x14ac:dyDescent="0.45">
      <c r="B84" s="87"/>
      <c r="C84" s="88"/>
      <c r="D84" s="89"/>
      <c r="E84" s="88" t="s">
        <v>332</v>
      </c>
      <c r="F84" s="88" t="s">
        <v>381</v>
      </c>
      <c r="G84" s="65" t="str">
        <f>"1TS"&amp;B81&amp;"/"&amp;LEFT(E84,1)&amp;"U"</f>
        <v>1TS3/2U</v>
      </c>
      <c r="H84" s="65" t="str">
        <f t="shared" si="36"/>
        <v>1TS3/2U-*-*/1TS3/2U-Y1</v>
      </c>
      <c r="I84" s="65" t="s">
        <v>33</v>
      </c>
      <c r="J84" s="65" t="s">
        <v>33</v>
      </c>
      <c r="K84" s="65" t="str">
        <f t="shared" si="37"/>
        <v>1TS3/2U-Y1/*-*-1TS3/2U</v>
      </c>
      <c r="L84" s="64" t="str">
        <f t="shared" ref="L84" si="38">G84&amp;"-"&amp;RIGHT(M84,2)</f>
        <v>1TS3/2U-Y1</v>
      </c>
      <c r="M84" s="91" t="str">
        <f>"RTD-0"&amp;B81&amp;" VTP-0"&amp;B81&amp;" Winding Temperature Y1"</f>
        <v>RTD-03 VTP-03 Winding Temperature Y1</v>
      </c>
      <c r="N84" s="88"/>
    </row>
    <row r="85" spans="2:14" ht="30" customHeight="1" x14ac:dyDescent="0.45">
      <c r="B85" s="87"/>
      <c r="C85" s="88"/>
      <c r="D85" s="89"/>
      <c r="E85" s="88"/>
      <c r="F85" s="88"/>
      <c r="G85" s="65" t="str">
        <f>"1TS"&amp;B81&amp;"/"&amp;LEFT(E84,1)&amp;"M"</f>
        <v>1TS3/2M</v>
      </c>
      <c r="H85" s="65" t="str">
        <f t="shared" si="36"/>
        <v>1TS3/2M-*-*/1TS3/2M-Y1</v>
      </c>
      <c r="I85" s="65" t="s">
        <v>33</v>
      </c>
      <c r="J85" s="65" t="s">
        <v>33</v>
      </c>
      <c r="K85" s="65" t="str">
        <f t="shared" si="37"/>
        <v>1TS3/2M-Y1/*-*-1TS3/2M</v>
      </c>
      <c r="L85" s="64" t="str">
        <f t="shared" ref="L85" si="39">G85&amp;"-"&amp;RIGHT(M84,2)</f>
        <v>1TS3/2M-Y1</v>
      </c>
      <c r="M85" s="91"/>
      <c r="N85" s="88"/>
    </row>
    <row r="86" spans="2:14" ht="30" customHeight="1" x14ac:dyDescent="0.45">
      <c r="B86" s="87"/>
      <c r="C86" s="88"/>
      <c r="D86" s="89"/>
      <c r="E86" s="88"/>
      <c r="F86" s="88"/>
      <c r="G86" s="65" t="str">
        <f>"1TS"&amp;B81&amp;"/"&amp;LEFT(E84,1)&amp;"L"</f>
        <v>1TS3/2L</v>
      </c>
      <c r="H86" s="65" t="str">
        <f t="shared" si="36"/>
        <v>1TS3/2L-*-*/1TS3/2L-Y1</v>
      </c>
      <c r="I86" s="65" t="s">
        <v>33</v>
      </c>
      <c r="J86" s="65" t="s">
        <v>33</v>
      </c>
      <c r="K86" s="65" t="str">
        <f t="shared" si="37"/>
        <v>1TS3/2L-Y1/*-*-1TS3/2L</v>
      </c>
      <c r="L86" s="64" t="str">
        <f t="shared" ref="L86" si="40">G86&amp;"-"&amp;RIGHT(M84,2)</f>
        <v>1TS3/2L-Y1</v>
      </c>
      <c r="M86" s="91"/>
      <c r="N86" s="88"/>
    </row>
    <row r="87" spans="2:14" ht="30" customHeight="1" x14ac:dyDescent="0.45">
      <c r="B87" s="87"/>
      <c r="C87" s="88"/>
      <c r="D87" s="89"/>
      <c r="E87" s="88" t="s">
        <v>333</v>
      </c>
      <c r="F87" s="88" t="s">
        <v>382</v>
      </c>
      <c r="G87" s="65" t="str">
        <f>"1TS"&amp;B81&amp;"/"&amp;LEFT(E87,1)&amp;"U"</f>
        <v>1TS3/3U</v>
      </c>
      <c r="H87" s="65" t="str">
        <f t="shared" si="36"/>
        <v>1TS3/3U-*-*/1TS3/3U-B1</v>
      </c>
      <c r="I87" s="65" t="s">
        <v>33</v>
      </c>
      <c r="J87" s="65" t="s">
        <v>33</v>
      </c>
      <c r="K87" s="65" t="str">
        <f t="shared" si="37"/>
        <v>1TS3/3U-B1/*-*-1TS3/3U</v>
      </c>
      <c r="L87" s="64" t="str">
        <f t="shared" ref="L87" si="41">G87&amp;"-"&amp;RIGHT(M87,2)</f>
        <v>1TS3/3U-B1</v>
      </c>
      <c r="M87" s="91" t="str">
        <f>"RTD-0"&amp;B81&amp;" VTP-0"&amp;B81&amp;" Winding Temperature B1"</f>
        <v>RTD-03 VTP-03 Winding Temperature B1</v>
      </c>
      <c r="N87" s="88"/>
    </row>
    <row r="88" spans="2:14" ht="30" customHeight="1" x14ac:dyDescent="0.45">
      <c r="B88" s="87"/>
      <c r="C88" s="88"/>
      <c r="D88" s="89"/>
      <c r="E88" s="88"/>
      <c r="F88" s="88"/>
      <c r="G88" s="65" t="str">
        <f>"1TS"&amp;B81&amp;"/"&amp;LEFT(E87,1)&amp;"M"</f>
        <v>1TS3/3M</v>
      </c>
      <c r="H88" s="65" t="str">
        <f t="shared" si="36"/>
        <v>1TS3/3M-*-*/1TS3/3M-B1</v>
      </c>
      <c r="I88" s="65" t="s">
        <v>33</v>
      </c>
      <c r="J88" s="65" t="s">
        <v>33</v>
      </c>
      <c r="K88" s="65" t="str">
        <f t="shared" si="37"/>
        <v>1TS3/3M-B1/*-*-1TS3/3M</v>
      </c>
      <c r="L88" s="64" t="str">
        <f t="shared" ref="L88" si="42">G88&amp;"-"&amp;RIGHT(M87,2)</f>
        <v>1TS3/3M-B1</v>
      </c>
      <c r="M88" s="91"/>
      <c r="N88" s="88"/>
    </row>
    <row r="89" spans="2:14" ht="30" customHeight="1" x14ac:dyDescent="0.45">
      <c r="B89" s="87"/>
      <c r="C89" s="88"/>
      <c r="D89" s="89"/>
      <c r="E89" s="88"/>
      <c r="F89" s="88"/>
      <c r="G89" s="65" t="str">
        <f>"1TS"&amp;B81&amp;"/"&amp;LEFT(E87,1)&amp;"L"</f>
        <v>1TS3/3L</v>
      </c>
      <c r="H89" s="65" t="str">
        <f t="shared" si="36"/>
        <v>1TS3/3L-*-*/1TS3/3L-B1</v>
      </c>
      <c r="I89" s="65" t="s">
        <v>33</v>
      </c>
      <c r="J89" s="65" t="s">
        <v>33</v>
      </c>
      <c r="K89" s="65" t="str">
        <f t="shared" si="37"/>
        <v>1TS3/3L-B1/*-*-1TS3/3L</v>
      </c>
      <c r="L89" s="64" t="str">
        <f t="shared" ref="L89" si="43">G89&amp;"-"&amp;RIGHT(M87,2)</f>
        <v>1TS3/3L-B1</v>
      </c>
      <c r="M89" s="91"/>
      <c r="N89" s="88"/>
    </row>
    <row r="90" spans="2:14" ht="30" customHeight="1" x14ac:dyDescent="0.45">
      <c r="B90" s="87"/>
      <c r="C90" s="88"/>
      <c r="D90" s="89"/>
      <c r="E90" s="88" t="s">
        <v>334</v>
      </c>
      <c r="F90" s="88" t="s">
        <v>383</v>
      </c>
      <c r="G90" s="65" t="str">
        <f>"1TS"&amp;B81&amp;"/"&amp;LEFT(E90,1)&amp;"U"</f>
        <v>1TS3/4U</v>
      </c>
      <c r="H90" s="65" t="str">
        <f t="shared" si="36"/>
        <v>1TS3/4U-*-*/1TS3/4U-R2</v>
      </c>
      <c r="I90" s="65" t="s">
        <v>33</v>
      </c>
      <c r="J90" s="65" t="s">
        <v>33</v>
      </c>
      <c r="K90" s="65" t="str">
        <f t="shared" si="37"/>
        <v>1TS3/4U-R2/*-*-1TS3/4U</v>
      </c>
      <c r="L90" s="64" t="str">
        <f t="shared" ref="L90" si="44">G90&amp;"-"&amp;RIGHT(M90,2)</f>
        <v>1TS3/4U-R2</v>
      </c>
      <c r="M90" s="91" t="str">
        <f>"RTD-0"&amp;B81&amp;" VTP-0"&amp;B81&amp;" Winding Temperature R2"</f>
        <v>RTD-03 VTP-03 Winding Temperature R2</v>
      </c>
      <c r="N90" s="88"/>
    </row>
    <row r="91" spans="2:14" ht="30" customHeight="1" x14ac:dyDescent="0.45">
      <c r="B91" s="87"/>
      <c r="C91" s="88"/>
      <c r="D91" s="89"/>
      <c r="E91" s="88"/>
      <c r="F91" s="88"/>
      <c r="G91" s="65" t="str">
        <f>"1TS"&amp;B81&amp;"/"&amp;LEFT(E90,1)&amp;"M"</f>
        <v>1TS3/4M</v>
      </c>
      <c r="H91" s="65" t="str">
        <f t="shared" si="36"/>
        <v>1TS3/4M-*-*/1TS3/4M-R2</v>
      </c>
      <c r="I91" s="65" t="s">
        <v>33</v>
      </c>
      <c r="J91" s="65" t="s">
        <v>33</v>
      </c>
      <c r="K91" s="65" t="str">
        <f t="shared" si="37"/>
        <v>1TS3/4M-R2/*-*-1TS3/4M</v>
      </c>
      <c r="L91" s="64" t="str">
        <f t="shared" ref="L91" si="45">G91&amp;"-"&amp;RIGHT(M90,2)</f>
        <v>1TS3/4M-R2</v>
      </c>
      <c r="M91" s="91"/>
      <c r="N91" s="88"/>
    </row>
    <row r="92" spans="2:14" ht="30" customHeight="1" x14ac:dyDescent="0.45">
      <c r="B92" s="87"/>
      <c r="C92" s="88"/>
      <c r="D92" s="89"/>
      <c r="E92" s="88"/>
      <c r="F92" s="88"/>
      <c r="G92" s="65" t="str">
        <f>"1TS"&amp;B81&amp;"/"&amp;LEFT(E90,1)&amp;"L"</f>
        <v>1TS3/4L</v>
      </c>
      <c r="H92" s="65" t="str">
        <f t="shared" si="36"/>
        <v>1TS3/4L-*-*/1TS3/4L-R2</v>
      </c>
      <c r="I92" s="65" t="s">
        <v>33</v>
      </c>
      <c r="J92" s="65" t="s">
        <v>33</v>
      </c>
      <c r="K92" s="65" t="str">
        <f t="shared" si="37"/>
        <v>1TS3/4L-R2/*-*-1TS3/4L</v>
      </c>
      <c r="L92" s="64" t="str">
        <f t="shared" ref="L92" si="46">G92&amp;"-"&amp;RIGHT(M90,2)</f>
        <v>1TS3/4L-R2</v>
      </c>
      <c r="M92" s="91"/>
      <c r="N92" s="88"/>
    </row>
    <row r="93" spans="2:14" ht="30" customHeight="1" x14ac:dyDescent="0.45">
      <c r="B93" s="87"/>
      <c r="C93" s="88"/>
      <c r="D93" s="89"/>
      <c r="E93" s="88" t="s">
        <v>335</v>
      </c>
      <c r="F93" s="88" t="s">
        <v>384</v>
      </c>
      <c r="G93" s="65" t="str">
        <f>"1TS"&amp;B81&amp;"/"&amp;LEFT(E93,1)&amp;"U"</f>
        <v>1TS3/5U</v>
      </c>
      <c r="H93" s="65" t="str">
        <f t="shared" si="36"/>
        <v>1TS3/5U-*-*/1TS3/5U-Y2</v>
      </c>
      <c r="I93" s="65" t="s">
        <v>33</v>
      </c>
      <c r="J93" s="65" t="s">
        <v>33</v>
      </c>
      <c r="K93" s="65" t="str">
        <f t="shared" si="37"/>
        <v>1TS3/5U-Y2/*-*-1TS3/5U</v>
      </c>
      <c r="L93" s="64" t="str">
        <f t="shared" ref="L93" si="47">G93&amp;"-"&amp;RIGHT(M93,2)</f>
        <v>1TS3/5U-Y2</v>
      </c>
      <c r="M93" s="91" t="str">
        <f>"RTD-0"&amp;B81&amp;" VTP-0"&amp;B81&amp;" Winding Temperature Y2"</f>
        <v>RTD-03 VTP-03 Winding Temperature Y2</v>
      </c>
      <c r="N93" s="88"/>
    </row>
    <row r="94" spans="2:14" ht="30" customHeight="1" x14ac:dyDescent="0.45">
      <c r="B94" s="87"/>
      <c r="C94" s="88"/>
      <c r="D94" s="89"/>
      <c r="E94" s="88"/>
      <c r="F94" s="88"/>
      <c r="G94" s="65" t="str">
        <f>"1TS"&amp;B81&amp;"/"&amp;LEFT(E93,1)&amp;"M"</f>
        <v>1TS3/5M</v>
      </c>
      <c r="H94" s="65" t="str">
        <f t="shared" si="36"/>
        <v>1TS3/5M-*-*/1TS3/5M-Y2</v>
      </c>
      <c r="I94" s="65" t="s">
        <v>33</v>
      </c>
      <c r="J94" s="65" t="s">
        <v>33</v>
      </c>
      <c r="K94" s="65" t="str">
        <f t="shared" si="37"/>
        <v>1TS3/5M-Y2/*-*-1TS3/5M</v>
      </c>
      <c r="L94" s="64" t="str">
        <f t="shared" ref="L94" si="48">G94&amp;"-"&amp;RIGHT(M93,2)</f>
        <v>1TS3/5M-Y2</v>
      </c>
      <c r="M94" s="91"/>
      <c r="N94" s="88"/>
    </row>
    <row r="95" spans="2:14" ht="30" customHeight="1" x14ac:dyDescent="0.45">
      <c r="B95" s="87"/>
      <c r="C95" s="88"/>
      <c r="D95" s="89"/>
      <c r="E95" s="88"/>
      <c r="F95" s="88"/>
      <c r="G95" s="65" t="str">
        <f>"1TS"&amp;B81&amp;"/"&amp;LEFT(E93,1)&amp;"L"</f>
        <v>1TS3/5L</v>
      </c>
      <c r="H95" s="65" t="str">
        <f t="shared" si="36"/>
        <v>1TS3/5L-*-*/1TS3/5L-Y2</v>
      </c>
      <c r="I95" s="65" t="s">
        <v>33</v>
      </c>
      <c r="J95" s="65" t="s">
        <v>33</v>
      </c>
      <c r="K95" s="65" t="str">
        <f t="shared" si="37"/>
        <v>1TS3/5L-Y2/*-*-1TS3/5L</v>
      </c>
      <c r="L95" s="64" t="str">
        <f t="shared" ref="L95" si="49">G95&amp;"-"&amp;RIGHT(M93,2)</f>
        <v>1TS3/5L-Y2</v>
      </c>
      <c r="M95" s="91"/>
      <c r="N95" s="88"/>
    </row>
    <row r="96" spans="2:14" ht="30" customHeight="1" x14ac:dyDescent="0.45">
      <c r="B96" s="87"/>
      <c r="C96" s="88"/>
      <c r="D96" s="89"/>
      <c r="E96" s="88" t="s">
        <v>336</v>
      </c>
      <c r="F96" s="88" t="s">
        <v>385</v>
      </c>
      <c r="G96" s="65" t="str">
        <f>"1TS"&amp;B81&amp;"/"&amp;LEFT(E96,1)&amp;"U"</f>
        <v>1TS3/6U</v>
      </c>
      <c r="H96" s="65" t="str">
        <f t="shared" si="36"/>
        <v>1TS3/6U-*-*/1TS3/6U-B2</v>
      </c>
      <c r="I96" s="65" t="s">
        <v>33</v>
      </c>
      <c r="J96" s="65" t="s">
        <v>33</v>
      </c>
      <c r="K96" s="65" t="str">
        <f t="shared" si="37"/>
        <v>1TS3/6U-B2/*-*-1TS3/6U</v>
      </c>
      <c r="L96" s="64" t="str">
        <f t="shared" ref="L96" si="50">G96&amp;"-"&amp;RIGHT(M96,2)</f>
        <v>1TS3/6U-B2</v>
      </c>
      <c r="M96" s="91" t="str">
        <f>"RTD-0"&amp;B81&amp;" VTP-0"&amp;B81&amp;" Winding Temperature B2"</f>
        <v>RTD-03 VTP-03 Winding Temperature B2</v>
      </c>
      <c r="N96" s="88"/>
    </row>
    <row r="97" spans="2:14" ht="30" customHeight="1" x14ac:dyDescent="0.45">
      <c r="B97" s="87"/>
      <c r="C97" s="88"/>
      <c r="D97" s="89"/>
      <c r="E97" s="88"/>
      <c r="F97" s="88"/>
      <c r="G97" s="65" t="str">
        <f>"1TS"&amp;B81&amp;"/"&amp;LEFT(E96,1)&amp;"M"</f>
        <v>1TS3/6M</v>
      </c>
      <c r="H97" s="65" t="str">
        <f t="shared" si="36"/>
        <v>1TS3/6M-*-*/1TS3/6M-B2</v>
      </c>
      <c r="I97" s="65" t="s">
        <v>33</v>
      </c>
      <c r="J97" s="65" t="s">
        <v>33</v>
      </c>
      <c r="K97" s="65" t="str">
        <f t="shared" si="37"/>
        <v>1TS3/6M-B2/*-*-1TS3/6M</v>
      </c>
      <c r="L97" s="64" t="str">
        <f t="shared" ref="L97" si="51">G97&amp;"-"&amp;RIGHT(M96,2)</f>
        <v>1TS3/6M-B2</v>
      </c>
      <c r="M97" s="91"/>
      <c r="N97" s="88"/>
    </row>
    <row r="98" spans="2:14" ht="30" customHeight="1" x14ac:dyDescent="0.45">
      <c r="B98" s="87"/>
      <c r="C98" s="88"/>
      <c r="D98" s="89"/>
      <c r="E98" s="88"/>
      <c r="F98" s="88"/>
      <c r="G98" s="65" t="str">
        <f>"1TS"&amp;B81&amp;"/"&amp;LEFT(E96,1)&amp;"L"</f>
        <v>1TS3/6L</v>
      </c>
      <c r="H98" s="65" t="str">
        <f t="shared" si="36"/>
        <v>1TS3/6L-*-*/1TS3/6L-B2</v>
      </c>
      <c r="I98" s="65" t="s">
        <v>33</v>
      </c>
      <c r="J98" s="65" t="s">
        <v>33</v>
      </c>
      <c r="K98" s="65" t="str">
        <f t="shared" si="37"/>
        <v>1TS3/6L-B2/*-*-1TS3/6L</v>
      </c>
      <c r="L98" s="64" t="str">
        <f t="shared" ref="L98" si="52">G98&amp;"-"&amp;RIGHT(M96,2)</f>
        <v>1TS3/6L-B2</v>
      </c>
      <c r="M98" s="91"/>
      <c r="N98" s="88"/>
    </row>
    <row r="99" spans="2:14" ht="30" customHeight="1" x14ac:dyDescent="0.45">
      <c r="B99" s="87"/>
      <c r="C99" s="88"/>
      <c r="D99" s="89"/>
      <c r="E99" s="88" t="s">
        <v>337</v>
      </c>
      <c r="F99" s="88" t="s">
        <v>386</v>
      </c>
      <c r="G99" s="65" t="str">
        <f>"1TS"&amp;B81&amp;"/"&amp;LEFT(E99,1)&amp;"U"</f>
        <v>1TS3/7U</v>
      </c>
      <c r="H99" s="65" t="str">
        <f t="shared" si="36"/>
        <v>1TS3/7U-*-*/1TS3/7U-NDE</v>
      </c>
      <c r="I99" s="65" t="s">
        <v>33</v>
      </c>
      <c r="J99" s="65" t="s">
        <v>33</v>
      </c>
      <c r="K99" s="65" t="str">
        <f t="shared" si="37"/>
        <v>1TS3/7U-NDE/*-*-1TS3/7U</v>
      </c>
      <c r="L99" s="64" t="str">
        <f>G99&amp;"-"&amp;"NDE"</f>
        <v>1TS3/7U-NDE</v>
      </c>
      <c r="M99" s="91" t="str">
        <f>"RTD-0"&amp;B81&amp;" VTP-0"&amp;B81&amp;" Bearing Temperature Non-Drive End"</f>
        <v>RTD-03 VTP-03 Bearing Temperature Non-Drive End</v>
      </c>
      <c r="N99" s="88"/>
    </row>
    <row r="100" spans="2:14" ht="30" customHeight="1" x14ac:dyDescent="0.45">
      <c r="B100" s="87"/>
      <c r="C100" s="88"/>
      <c r="D100" s="89"/>
      <c r="E100" s="88"/>
      <c r="F100" s="88"/>
      <c r="G100" s="65" t="str">
        <f>"1TS"&amp;B81&amp;"/"&amp;LEFT(E99,1)&amp;"M"</f>
        <v>1TS3/7M</v>
      </c>
      <c r="H100" s="65" t="str">
        <f t="shared" si="36"/>
        <v>1TS3/7M-*-*/1TS3/7M-NDE</v>
      </c>
      <c r="I100" s="65" t="s">
        <v>33</v>
      </c>
      <c r="J100" s="65" t="s">
        <v>33</v>
      </c>
      <c r="K100" s="65" t="str">
        <f t="shared" si="37"/>
        <v>1TS3/7M-NDE/*-*-1TS3/7M</v>
      </c>
      <c r="L100" s="64" t="str">
        <f>G100&amp;"-"&amp;"NDE"</f>
        <v>1TS3/7M-NDE</v>
      </c>
      <c r="M100" s="91"/>
      <c r="N100" s="88"/>
    </row>
    <row r="101" spans="2:14" ht="30" customHeight="1" x14ac:dyDescent="0.45">
      <c r="B101" s="87"/>
      <c r="C101" s="88"/>
      <c r="D101" s="89"/>
      <c r="E101" s="88"/>
      <c r="F101" s="88"/>
      <c r="G101" s="65" t="str">
        <f>"1TS"&amp;B81&amp;"/"&amp;LEFT(E99,1)&amp;"L"</f>
        <v>1TS3/7L</v>
      </c>
      <c r="H101" s="65" t="str">
        <f t="shared" si="36"/>
        <v>1TS3/7L-*-*/1TS3/7L-NDE</v>
      </c>
      <c r="I101" s="65" t="s">
        <v>33</v>
      </c>
      <c r="J101" s="65" t="s">
        <v>33</v>
      </c>
      <c r="K101" s="65" t="str">
        <f t="shared" si="37"/>
        <v>1TS3/7L-NDE/*-*-1TS3/7L</v>
      </c>
      <c r="L101" s="64" t="str">
        <f>G101&amp;"-"&amp;"NDE"</f>
        <v>1TS3/7L-NDE</v>
      </c>
      <c r="M101" s="91"/>
      <c r="N101" s="88"/>
    </row>
    <row r="102" spans="2:14" ht="30" customHeight="1" x14ac:dyDescent="0.45">
      <c r="B102" s="87"/>
      <c r="C102" s="88"/>
      <c r="D102" s="89"/>
      <c r="E102" s="88" t="s">
        <v>338</v>
      </c>
      <c r="F102" s="88" t="s">
        <v>387</v>
      </c>
      <c r="G102" s="65" t="str">
        <f>"1TS"&amp;B81&amp;"/"&amp;LEFT(E102,1)&amp;"U"</f>
        <v>1TS3/8U</v>
      </c>
      <c r="H102" s="65" t="str">
        <f t="shared" si="36"/>
        <v>1TS3/8U-*-*/1TS3/8U-DE</v>
      </c>
      <c r="I102" s="65" t="s">
        <v>33</v>
      </c>
      <c r="J102" s="65" t="s">
        <v>33</v>
      </c>
      <c r="K102" s="65" t="str">
        <f t="shared" si="37"/>
        <v>1TS3/8U-DE/*-*-1TS3/8U</v>
      </c>
      <c r="L102" s="64" t="str">
        <f>G102&amp;"-"&amp;"DE"</f>
        <v>1TS3/8U-DE</v>
      </c>
      <c r="M102" s="91" t="str">
        <f>"RTD-0"&amp;B81&amp;" VTP-0"&amp;B81&amp;" Bearing Temperature Drive End"</f>
        <v>RTD-03 VTP-03 Bearing Temperature Drive End</v>
      </c>
      <c r="N102" s="88"/>
    </row>
    <row r="103" spans="2:14" ht="30" customHeight="1" x14ac:dyDescent="0.45">
      <c r="B103" s="87"/>
      <c r="C103" s="88"/>
      <c r="D103" s="89"/>
      <c r="E103" s="88"/>
      <c r="F103" s="88"/>
      <c r="G103" s="65" t="str">
        <f>"1TS"&amp;B81&amp;"/"&amp;LEFT(E102,1)&amp;"M"</f>
        <v>1TS3/8M</v>
      </c>
      <c r="H103" s="65" t="str">
        <f t="shared" si="36"/>
        <v>1TS3/8M-*-*/1TS3/8M-DE</v>
      </c>
      <c r="I103" s="65" t="s">
        <v>33</v>
      </c>
      <c r="J103" s="65" t="s">
        <v>33</v>
      </c>
      <c r="K103" s="65" t="str">
        <f t="shared" si="37"/>
        <v>1TS3/8M-DE/*-*-1TS3/8M</v>
      </c>
      <c r="L103" s="64" t="str">
        <f t="shared" ref="L103:L104" si="53">G103&amp;"-"&amp;"DE"</f>
        <v>1TS3/8M-DE</v>
      </c>
      <c r="M103" s="91"/>
      <c r="N103" s="88"/>
    </row>
    <row r="104" spans="2:14" ht="30" customHeight="1" x14ac:dyDescent="0.45">
      <c r="B104" s="87"/>
      <c r="C104" s="88"/>
      <c r="D104" s="89"/>
      <c r="E104" s="88"/>
      <c r="F104" s="88"/>
      <c r="G104" s="65" t="str">
        <f>"1TS"&amp;B81&amp;"/"&amp;LEFT(E102,1)&amp;"L"</f>
        <v>1TS3/8L</v>
      </c>
      <c r="H104" s="65" t="str">
        <f t="shared" si="36"/>
        <v>1TS3/8L-*-*/1TS3/8L-DE</v>
      </c>
      <c r="I104" s="65" t="s">
        <v>33</v>
      </c>
      <c r="J104" s="65" t="s">
        <v>33</v>
      </c>
      <c r="K104" s="65" t="str">
        <f t="shared" si="37"/>
        <v>1TS3/8L-DE/*-*-1TS3/8L</v>
      </c>
      <c r="L104" s="64" t="str">
        <f t="shared" si="53"/>
        <v>1TS3/8L-DE</v>
      </c>
      <c r="M104" s="91"/>
      <c r="N104" s="88"/>
    </row>
    <row r="105" spans="2:14" ht="30" customHeight="1" x14ac:dyDescent="0.45">
      <c r="B105" s="87"/>
      <c r="C105" s="88"/>
      <c r="D105" s="89"/>
      <c r="E105" s="88" t="s">
        <v>339</v>
      </c>
      <c r="F105" s="88" t="s">
        <v>45</v>
      </c>
      <c r="G105" s="65" t="s">
        <v>45</v>
      </c>
      <c r="H105" s="65" t="s">
        <v>45</v>
      </c>
      <c r="I105" s="65" t="s">
        <v>45</v>
      </c>
      <c r="J105" s="65" t="s">
        <v>45</v>
      </c>
      <c r="K105" s="65" t="s">
        <v>45</v>
      </c>
      <c r="L105" s="69" t="s">
        <v>45</v>
      </c>
      <c r="M105" s="90" t="s">
        <v>34</v>
      </c>
      <c r="N105" s="88"/>
    </row>
    <row r="106" spans="2:14" ht="30" customHeight="1" x14ac:dyDescent="0.45">
      <c r="B106" s="87"/>
      <c r="C106" s="88"/>
      <c r="D106" s="89"/>
      <c r="E106" s="88"/>
      <c r="F106" s="88"/>
      <c r="G106" s="65" t="s">
        <v>45</v>
      </c>
      <c r="H106" s="65" t="s">
        <v>45</v>
      </c>
      <c r="I106" s="65" t="s">
        <v>45</v>
      </c>
      <c r="J106" s="65" t="s">
        <v>45</v>
      </c>
      <c r="K106" s="65" t="s">
        <v>45</v>
      </c>
      <c r="L106" s="69" t="s">
        <v>45</v>
      </c>
      <c r="M106" s="90"/>
      <c r="N106" s="88"/>
    </row>
    <row r="107" spans="2:14" ht="30" customHeight="1" x14ac:dyDescent="0.45">
      <c r="B107" s="87"/>
      <c r="C107" s="88"/>
      <c r="D107" s="89"/>
      <c r="E107" s="88"/>
      <c r="F107" s="88"/>
      <c r="G107" s="65" t="s">
        <v>45</v>
      </c>
      <c r="H107" s="65" t="s">
        <v>45</v>
      </c>
      <c r="I107" s="65" t="s">
        <v>45</v>
      </c>
      <c r="J107" s="65" t="s">
        <v>45</v>
      </c>
      <c r="K107" s="65" t="s">
        <v>45</v>
      </c>
      <c r="L107" s="69" t="s">
        <v>45</v>
      </c>
      <c r="M107" s="90"/>
      <c r="N107" s="88"/>
    </row>
    <row r="108" spans="2:14" ht="30" customHeight="1" x14ac:dyDescent="0.45">
      <c r="B108" s="87"/>
      <c r="C108" s="88"/>
      <c r="D108" s="89"/>
      <c r="E108" s="88" t="s">
        <v>340</v>
      </c>
      <c r="F108" s="88" t="s">
        <v>45</v>
      </c>
      <c r="G108" s="65" t="s">
        <v>45</v>
      </c>
      <c r="H108" s="65" t="s">
        <v>45</v>
      </c>
      <c r="I108" s="65" t="s">
        <v>45</v>
      </c>
      <c r="J108" s="65" t="s">
        <v>45</v>
      </c>
      <c r="K108" s="65" t="s">
        <v>45</v>
      </c>
      <c r="L108" s="69" t="s">
        <v>45</v>
      </c>
      <c r="M108" s="90" t="s">
        <v>34</v>
      </c>
      <c r="N108" s="88"/>
    </row>
    <row r="109" spans="2:14" ht="30" customHeight="1" x14ac:dyDescent="0.45">
      <c r="B109" s="87"/>
      <c r="C109" s="88"/>
      <c r="D109" s="89"/>
      <c r="E109" s="88"/>
      <c r="F109" s="88"/>
      <c r="G109" s="65" t="s">
        <v>45</v>
      </c>
      <c r="H109" s="65" t="s">
        <v>45</v>
      </c>
      <c r="I109" s="65" t="s">
        <v>45</v>
      </c>
      <c r="J109" s="65" t="s">
        <v>45</v>
      </c>
      <c r="K109" s="65" t="s">
        <v>45</v>
      </c>
      <c r="L109" s="69" t="s">
        <v>45</v>
      </c>
      <c r="M109" s="90"/>
      <c r="N109" s="88"/>
    </row>
    <row r="110" spans="2:14" ht="30" customHeight="1" x14ac:dyDescent="0.45">
      <c r="B110" s="87"/>
      <c r="C110" s="88"/>
      <c r="D110" s="89"/>
      <c r="E110" s="88"/>
      <c r="F110" s="88"/>
      <c r="G110" s="65" t="s">
        <v>45</v>
      </c>
      <c r="H110" s="65" t="s">
        <v>45</v>
      </c>
      <c r="I110" s="65" t="s">
        <v>45</v>
      </c>
      <c r="J110" s="65" t="s">
        <v>45</v>
      </c>
      <c r="K110" s="65" t="s">
        <v>45</v>
      </c>
      <c r="L110" s="69" t="s">
        <v>45</v>
      </c>
      <c r="M110" s="90"/>
      <c r="N110" s="88"/>
    </row>
    <row r="111" spans="2:14" ht="30" customHeight="1" x14ac:dyDescent="0.45">
      <c r="B111" s="87"/>
      <c r="C111" s="88"/>
      <c r="D111" s="89"/>
      <c r="E111" s="88" t="s">
        <v>341</v>
      </c>
      <c r="F111" s="88" t="s">
        <v>45</v>
      </c>
      <c r="G111" s="65" t="s">
        <v>45</v>
      </c>
      <c r="H111" s="65" t="s">
        <v>45</v>
      </c>
      <c r="I111" s="65" t="s">
        <v>45</v>
      </c>
      <c r="J111" s="65" t="s">
        <v>45</v>
      </c>
      <c r="K111" s="65" t="s">
        <v>45</v>
      </c>
      <c r="L111" s="69" t="s">
        <v>45</v>
      </c>
      <c r="M111" s="90" t="s">
        <v>34</v>
      </c>
      <c r="N111" s="88"/>
    </row>
    <row r="112" spans="2:14" ht="30" customHeight="1" x14ac:dyDescent="0.45">
      <c r="B112" s="87"/>
      <c r="C112" s="88"/>
      <c r="D112" s="89"/>
      <c r="E112" s="88"/>
      <c r="F112" s="88"/>
      <c r="G112" s="65" t="s">
        <v>45</v>
      </c>
      <c r="H112" s="65" t="s">
        <v>45</v>
      </c>
      <c r="I112" s="65" t="s">
        <v>45</v>
      </c>
      <c r="J112" s="65" t="s">
        <v>45</v>
      </c>
      <c r="K112" s="65" t="s">
        <v>45</v>
      </c>
      <c r="L112" s="69" t="s">
        <v>45</v>
      </c>
      <c r="M112" s="90"/>
      <c r="N112" s="88"/>
    </row>
    <row r="113" spans="2:14" ht="30" customHeight="1" x14ac:dyDescent="0.45">
      <c r="B113" s="87"/>
      <c r="C113" s="88"/>
      <c r="D113" s="89"/>
      <c r="E113" s="88"/>
      <c r="F113" s="88"/>
      <c r="G113" s="65" t="s">
        <v>45</v>
      </c>
      <c r="H113" s="65" t="s">
        <v>45</v>
      </c>
      <c r="I113" s="65" t="s">
        <v>45</v>
      </c>
      <c r="J113" s="65" t="s">
        <v>45</v>
      </c>
      <c r="K113" s="65" t="s">
        <v>45</v>
      </c>
      <c r="L113" s="69" t="s">
        <v>45</v>
      </c>
      <c r="M113" s="90"/>
      <c r="N113" s="88"/>
    </row>
    <row r="114" spans="2:14" ht="30" customHeight="1" x14ac:dyDescent="0.45">
      <c r="B114" s="87"/>
      <c r="C114" s="88"/>
      <c r="D114" s="89"/>
      <c r="E114" s="88" t="s">
        <v>342</v>
      </c>
      <c r="F114" s="88" t="s">
        <v>45</v>
      </c>
      <c r="G114" s="65" t="s">
        <v>45</v>
      </c>
      <c r="H114" s="65" t="s">
        <v>45</v>
      </c>
      <c r="I114" s="65" t="s">
        <v>45</v>
      </c>
      <c r="J114" s="65" t="s">
        <v>45</v>
      </c>
      <c r="K114" s="65" t="s">
        <v>45</v>
      </c>
      <c r="L114" s="69" t="s">
        <v>45</v>
      </c>
      <c r="M114" s="90" t="s">
        <v>34</v>
      </c>
      <c r="N114" s="88"/>
    </row>
    <row r="115" spans="2:14" ht="30" customHeight="1" x14ac:dyDescent="0.45">
      <c r="B115" s="87"/>
      <c r="C115" s="88"/>
      <c r="D115" s="89"/>
      <c r="E115" s="88"/>
      <c r="F115" s="88"/>
      <c r="G115" s="65" t="s">
        <v>45</v>
      </c>
      <c r="H115" s="65" t="s">
        <v>45</v>
      </c>
      <c r="I115" s="65" t="s">
        <v>45</v>
      </c>
      <c r="J115" s="65" t="s">
        <v>45</v>
      </c>
      <c r="K115" s="65" t="s">
        <v>45</v>
      </c>
      <c r="L115" s="69" t="s">
        <v>45</v>
      </c>
      <c r="M115" s="90"/>
      <c r="N115" s="88"/>
    </row>
    <row r="116" spans="2:14" ht="30" customHeight="1" x14ac:dyDescent="0.45">
      <c r="B116" s="87"/>
      <c r="C116" s="88"/>
      <c r="D116" s="89"/>
      <c r="E116" s="88"/>
      <c r="F116" s="88"/>
      <c r="G116" s="65" t="s">
        <v>45</v>
      </c>
      <c r="H116" s="65" t="s">
        <v>45</v>
      </c>
      <c r="I116" s="65" t="s">
        <v>45</v>
      </c>
      <c r="J116" s="65" t="s">
        <v>45</v>
      </c>
      <c r="K116" s="65" t="s">
        <v>45</v>
      </c>
      <c r="L116" s="69" t="s">
        <v>45</v>
      </c>
      <c r="M116" s="90"/>
      <c r="N116" s="88"/>
    </row>
    <row r="117" spans="2:14" ht="30" customHeight="1" x14ac:dyDescent="0.45">
      <c r="B117" s="87">
        <f t="shared" ref="B117" si="54">B81+1</f>
        <v>4</v>
      </c>
      <c r="C117" s="88" t="str">
        <f t="shared" ref="C117" si="55">"TS-0"&amp;B117</f>
        <v>TS-04</v>
      </c>
      <c r="D117" s="89" t="s">
        <v>379</v>
      </c>
      <c r="E117" s="88" t="s">
        <v>331</v>
      </c>
      <c r="F117" s="88" t="s">
        <v>380</v>
      </c>
      <c r="G117" s="65" t="str">
        <f t="shared" ref="G117" si="56">"1TS"&amp;B117&amp;"/"&amp;LEFT(E117,1)&amp;"U"</f>
        <v>1TS4/1U</v>
      </c>
      <c r="H117" s="65" t="str">
        <f>_xlfn.CONCAT(G117,"-",J117,"-",I117,"/",L117)</f>
        <v>1TS4/1U-*-*/1TS4/1U-R1</v>
      </c>
      <c r="I117" s="65" t="s">
        <v>33</v>
      </c>
      <c r="J117" s="65" t="s">
        <v>33</v>
      </c>
      <c r="K117" s="65" t="str">
        <f>_xlfn.CONCAT(L117,"/",J117,"-",I117,"-",G117)</f>
        <v>1TS4/1U-R1/*-*-1TS4/1U</v>
      </c>
      <c r="L117" s="64" t="str">
        <f t="shared" ref="L117" si="57">G117&amp;"-"&amp;RIGHT(M117,2)</f>
        <v>1TS4/1U-R1</v>
      </c>
      <c r="M117" s="91" t="str">
        <f t="shared" ref="M117" si="58">"RTD-0"&amp;B117&amp;" VTP-0"&amp;B117&amp;" Winding Temperature R1"</f>
        <v>RTD-04 VTP-04 Winding Temperature R1</v>
      </c>
      <c r="N117" s="88"/>
    </row>
    <row r="118" spans="2:14" ht="30" customHeight="1" x14ac:dyDescent="0.45">
      <c r="B118" s="87"/>
      <c r="C118" s="88"/>
      <c r="D118" s="89"/>
      <c r="E118" s="88"/>
      <c r="F118" s="88"/>
      <c r="G118" s="65" t="str">
        <f t="shared" ref="G118" si="59">"1TS"&amp;B117&amp;"/"&amp;LEFT(E117,1)&amp;"M"</f>
        <v>1TS4/1M</v>
      </c>
      <c r="H118" s="65" t="str">
        <f t="shared" ref="H118:H140" si="60">_xlfn.CONCAT(G118,"-",J118,"-",I118,"/",L118)</f>
        <v>1TS4/1M-*-*/1TS4/1M-R1</v>
      </c>
      <c r="I118" s="65" t="s">
        <v>33</v>
      </c>
      <c r="J118" s="65" t="s">
        <v>33</v>
      </c>
      <c r="K118" s="65" t="str">
        <f t="shared" ref="K118:K140" si="61">_xlfn.CONCAT(L118,"/",J118,"-",I118,"-",G118)</f>
        <v>1TS4/1M-R1/*-*-1TS4/1M</v>
      </c>
      <c r="L118" s="64" t="str">
        <f t="shared" ref="L118" si="62">G118&amp;"-"&amp;RIGHT(M117,2)</f>
        <v>1TS4/1M-R1</v>
      </c>
      <c r="M118" s="91"/>
      <c r="N118" s="88"/>
    </row>
    <row r="119" spans="2:14" ht="30" customHeight="1" x14ac:dyDescent="0.45">
      <c r="B119" s="87"/>
      <c r="C119" s="88"/>
      <c r="D119" s="89"/>
      <c r="E119" s="88"/>
      <c r="F119" s="88"/>
      <c r="G119" s="65" t="str">
        <f t="shared" ref="G119" si="63">"1TS"&amp;B117&amp;"/"&amp;LEFT(E117,1)&amp;"L"</f>
        <v>1TS4/1L</v>
      </c>
      <c r="H119" s="65" t="str">
        <f t="shared" si="60"/>
        <v>1TS4/1L-*-*/1TS4/1L-R1</v>
      </c>
      <c r="I119" s="65" t="s">
        <v>33</v>
      </c>
      <c r="J119" s="65" t="s">
        <v>33</v>
      </c>
      <c r="K119" s="65" t="str">
        <f t="shared" si="61"/>
        <v>1TS4/1L-R1/*-*-1TS4/1L</v>
      </c>
      <c r="L119" s="64" t="str">
        <f t="shared" ref="L119" si="64">G119&amp;"-"&amp;RIGHT(M117,2)</f>
        <v>1TS4/1L-R1</v>
      </c>
      <c r="M119" s="91"/>
      <c r="N119" s="88"/>
    </row>
    <row r="120" spans="2:14" ht="30" customHeight="1" x14ac:dyDescent="0.45">
      <c r="B120" s="87"/>
      <c r="C120" s="88"/>
      <c r="D120" s="89"/>
      <c r="E120" s="88" t="s">
        <v>332</v>
      </c>
      <c r="F120" s="88" t="s">
        <v>381</v>
      </c>
      <c r="G120" s="65" t="str">
        <f t="shared" ref="G120" si="65">"1TS"&amp;B117&amp;"/"&amp;LEFT(E120,1)&amp;"U"</f>
        <v>1TS4/2U</v>
      </c>
      <c r="H120" s="65" t="str">
        <f t="shared" si="60"/>
        <v>1TS4/2U-*-*/1TS4/2U-Y1</v>
      </c>
      <c r="I120" s="65" t="s">
        <v>33</v>
      </c>
      <c r="J120" s="65" t="s">
        <v>33</v>
      </c>
      <c r="K120" s="65" t="str">
        <f t="shared" si="61"/>
        <v>1TS4/2U-Y1/*-*-1TS4/2U</v>
      </c>
      <c r="L120" s="64" t="str">
        <f t="shared" ref="L120" si="66">G120&amp;"-"&amp;RIGHT(M120,2)</f>
        <v>1TS4/2U-Y1</v>
      </c>
      <c r="M120" s="91" t="str">
        <f t="shared" ref="M120" si="67">"RTD-0"&amp;B117&amp;" VTP-0"&amp;B117&amp;" Winding Temperature Y1"</f>
        <v>RTD-04 VTP-04 Winding Temperature Y1</v>
      </c>
      <c r="N120" s="88"/>
    </row>
    <row r="121" spans="2:14" ht="30" customHeight="1" x14ac:dyDescent="0.45">
      <c r="B121" s="87"/>
      <c r="C121" s="88"/>
      <c r="D121" s="89"/>
      <c r="E121" s="88"/>
      <c r="F121" s="88"/>
      <c r="G121" s="65" t="str">
        <f t="shared" ref="G121" si="68">"1TS"&amp;B117&amp;"/"&amp;LEFT(E120,1)&amp;"M"</f>
        <v>1TS4/2M</v>
      </c>
      <c r="H121" s="65" t="str">
        <f t="shared" si="60"/>
        <v>1TS4/2M-*-*/1TS4/2M-Y1</v>
      </c>
      <c r="I121" s="65" t="s">
        <v>33</v>
      </c>
      <c r="J121" s="65" t="s">
        <v>33</v>
      </c>
      <c r="K121" s="65" t="str">
        <f t="shared" si="61"/>
        <v>1TS4/2M-Y1/*-*-1TS4/2M</v>
      </c>
      <c r="L121" s="64" t="str">
        <f t="shared" ref="L121" si="69">G121&amp;"-"&amp;RIGHT(M120,2)</f>
        <v>1TS4/2M-Y1</v>
      </c>
      <c r="M121" s="91"/>
      <c r="N121" s="88"/>
    </row>
    <row r="122" spans="2:14" ht="30" customHeight="1" x14ac:dyDescent="0.45">
      <c r="B122" s="87"/>
      <c r="C122" s="88"/>
      <c r="D122" s="89"/>
      <c r="E122" s="88"/>
      <c r="F122" s="88"/>
      <c r="G122" s="65" t="str">
        <f t="shared" ref="G122" si="70">"1TS"&amp;B117&amp;"/"&amp;LEFT(E120,1)&amp;"L"</f>
        <v>1TS4/2L</v>
      </c>
      <c r="H122" s="65" t="str">
        <f t="shared" si="60"/>
        <v>1TS4/2L-*-*/1TS4/2L-Y1</v>
      </c>
      <c r="I122" s="65" t="s">
        <v>33</v>
      </c>
      <c r="J122" s="65" t="s">
        <v>33</v>
      </c>
      <c r="K122" s="65" t="str">
        <f t="shared" si="61"/>
        <v>1TS4/2L-Y1/*-*-1TS4/2L</v>
      </c>
      <c r="L122" s="64" t="str">
        <f t="shared" ref="L122" si="71">G122&amp;"-"&amp;RIGHT(M120,2)</f>
        <v>1TS4/2L-Y1</v>
      </c>
      <c r="M122" s="91"/>
      <c r="N122" s="88"/>
    </row>
    <row r="123" spans="2:14" ht="30" customHeight="1" x14ac:dyDescent="0.45">
      <c r="B123" s="87"/>
      <c r="C123" s="88"/>
      <c r="D123" s="89"/>
      <c r="E123" s="88" t="s">
        <v>333</v>
      </c>
      <c r="F123" s="88" t="s">
        <v>382</v>
      </c>
      <c r="G123" s="65" t="str">
        <f t="shared" ref="G123" si="72">"1TS"&amp;B117&amp;"/"&amp;LEFT(E123,1)&amp;"U"</f>
        <v>1TS4/3U</v>
      </c>
      <c r="H123" s="65" t="str">
        <f t="shared" si="60"/>
        <v>1TS4/3U-*-*/1TS4/3U-B1</v>
      </c>
      <c r="I123" s="65" t="s">
        <v>33</v>
      </c>
      <c r="J123" s="65" t="s">
        <v>33</v>
      </c>
      <c r="K123" s="65" t="str">
        <f t="shared" si="61"/>
        <v>1TS4/3U-B1/*-*-1TS4/3U</v>
      </c>
      <c r="L123" s="64" t="str">
        <f t="shared" ref="L123" si="73">G123&amp;"-"&amp;RIGHT(M123,2)</f>
        <v>1TS4/3U-B1</v>
      </c>
      <c r="M123" s="91" t="str">
        <f t="shared" ref="M123" si="74">"RTD-0"&amp;B117&amp;" VTP-0"&amp;B117&amp;" Winding Temperature B1"</f>
        <v>RTD-04 VTP-04 Winding Temperature B1</v>
      </c>
      <c r="N123" s="88"/>
    </row>
    <row r="124" spans="2:14" ht="30" customHeight="1" x14ac:dyDescent="0.45">
      <c r="B124" s="87"/>
      <c r="C124" s="88"/>
      <c r="D124" s="89"/>
      <c r="E124" s="88"/>
      <c r="F124" s="88"/>
      <c r="G124" s="65" t="str">
        <f t="shared" ref="G124" si="75">"1TS"&amp;B117&amp;"/"&amp;LEFT(E123,1)&amp;"M"</f>
        <v>1TS4/3M</v>
      </c>
      <c r="H124" s="65" t="str">
        <f t="shared" si="60"/>
        <v>1TS4/3M-*-*/1TS4/3M-B1</v>
      </c>
      <c r="I124" s="65" t="s">
        <v>33</v>
      </c>
      <c r="J124" s="65" t="s">
        <v>33</v>
      </c>
      <c r="K124" s="65" t="str">
        <f t="shared" si="61"/>
        <v>1TS4/3M-B1/*-*-1TS4/3M</v>
      </c>
      <c r="L124" s="64" t="str">
        <f t="shared" ref="L124" si="76">G124&amp;"-"&amp;RIGHT(M123,2)</f>
        <v>1TS4/3M-B1</v>
      </c>
      <c r="M124" s="91"/>
      <c r="N124" s="88"/>
    </row>
    <row r="125" spans="2:14" ht="30" customHeight="1" x14ac:dyDescent="0.45">
      <c r="B125" s="87"/>
      <c r="C125" s="88"/>
      <c r="D125" s="89"/>
      <c r="E125" s="88"/>
      <c r="F125" s="88"/>
      <c r="G125" s="65" t="str">
        <f t="shared" ref="G125" si="77">"1TS"&amp;B117&amp;"/"&amp;LEFT(E123,1)&amp;"L"</f>
        <v>1TS4/3L</v>
      </c>
      <c r="H125" s="65" t="str">
        <f t="shared" si="60"/>
        <v>1TS4/3L-*-*/1TS4/3L-B1</v>
      </c>
      <c r="I125" s="65" t="s">
        <v>33</v>
      </c>
      <c r="J125" s="65" t="s">
        <v>33</v>
      </c>
      <c r="K125" s="65" t="str">
        <f t="shared" si="61"/>
        <v>1TS4/3L-B1/*-*-1TS4/3L</v>
      </c>
      <c r="L125" s="64" t="str">
        <f t="shared" ref="L125" si="78">G125&amp;"-"&amp;RIGHT(M123,2)</f>
        <v>1TS4/3L-B1</v>
      </c>
      <c r="M125" s="91"/>
      <c r="N125" s="88"/>
    </row>
    <row r="126" spans="2:14" ht="30" customHeight="1" x14ac:dyDescent="0.45">
      <c r="B126" s="87"/>
      <c r="C126" s="88"/>
      <c r="D126" s="89"/>
      <c r="E126" s="88" t="s">
        <v>334</v>
      </c>
      <c r="F126" s="88" t="s">
        <v>383</v>
      </c>
      <c r="G126" s="65" t="str">
        <f t="shared" ref="G126" si="79">"1TS"&amp;B117&amp;"/"&amp;LEFT(E126,1)&amp;"U"</f>
        <v>1TS4/4U</v>
      </c>
      <c r="H126" s="65" t="str">
        <f t="shared" si="60"/>
        <v>1TS4/4U-*-*/1TS4/4U-R2</v>
      </c>
      <c r="I126" s="65" t="s">
        <v>33</v>
      </c>
      <c r="J126" s="65" t="s">
        <v>33</v>
      </c>
      <c r="K126" s="65" t="str">
        <f t="shared" si="61"/>
        <v>1TS4/4U-R2/*-*-1TS4/4U</v>
      </c>
      <c r="L126" s="64" t="str">
        <f t="shared" ref="L126" si="80">G126&amp;"-"&amp;RIGHT(M126,2)</f>
        <v>1TS4/4U-R2</v>
      </c>
      <c r="M126" s="91" t="str">
        <f t="shared" ref="M126" si="81">"RTD-0"&amp;B117&amp;" VTP-0"&amp;B117&amp;" Winding Temperature R2"</f>
        <v>RTD-04 VTP-04 Winding Temperature R2</v>
      </c>
      <c r="N126" s="88"/>
    </row>
    <row r="127" spans="2:14" ht="30" customHeight="1" x14ac:dyDescent="0.45">
      <c r="B127" s="87"/>
      <c r="C127" s="88"/>
      <c r="D127" s="89"/>
      <c r="E127" s="88"/>
      <c r="F127" s="88"/>
      <c r="G127" s="65" t="str">
        <f t="shared" ref="G127" si="82">"1TS"&amp;B117&amp;"/"&amp;LEFT(E126,1)&amp;"M"</f>
        <v>1TS4/4M</v>
      </c>
      <c r="H127" s="65" t="str">
        <f t="shared" si="60"/>
        <v>1TS4/4M-*-*/1TS4/4M-R2</v>
      </c>
      <c r="I127" s="65" t="s">
        <v>33</v>
      </c>
      <c r="J127" s="65" t="s">
        <v>33</v>
      </c>
      <c r="K127" s="65" t="str">
        <f t="shared" si="61"/>
        <v>1TS4/4M-R2/*-*-1TS4/4M</v>
      </c>
      <c r="L127" s="64" t="str">
        <f t="shared" ref="L127" si="83">G127&amp;"-"&amp;RIGHT(M126,2)</f>
        <v>1TS4/4M-R2</v>
      </c>
      <c r="M127" s="91"/>
      <c r="N127" s="88"/>
    </row>
    <row r="128" spans="2:14" ht="30" customHeight="1" x14ac:dyDescent="0.45">
      <c r="B128" s="87"/>
      <c r="C128" s="88"/>
      <c r="D128" s="89"/>
      <c r="E128" s="88"/>
      <c r="F128" s="88"/>
      <c r="G128" s="65" t="str">
        <f t="shared" ref="G128" si="84">"1TS"&amp;B117&amp;"/"&amp;LEFT(E126,1)&amp;"L"</f>
        <v>1TS4/4L</v>
      </c>
      <c r="H128" s="65" t="str">
        <f t="shared" si="60"/>
        <v>1TS4/4L-*-*/1TS4/4L-R2</v>
      </c>
      <c r="I128" s="65" t="s">
        <v>33</v>
      </c>
      <c r="J128" s="65" t="s">
        <v>33</v>
      </c>
      <c r="K128" s="65" t="str">
        <f t="shared" si="61"/>
        <v>1TS4/4L-R2/*-*-1TS4/4L</v>
      </c>
      <c r="L128" s="64" t="str">
        <f t="shared" ref="L128" si="85">G128&amp;"-"&amp;RIGHT(M126,2)</f>
        <v>1TS4/4L-R2</v>
      </c>
      <c r="M128" s="91"/>
      <c r="N128" s="88"/>
    </row>
    <row r="129" spans="2:14" ht="30" customHeight="1" x14ac:dyDescent="0.45">
      <c r="B129" s="87"/>
      <c r="C129" s="88"/>
      <c r="D129" s="89"/>
      <c r="E129" s="88" t="s">
        <v>335</v>
      </c>
      <c r="F129" s="88" t="s">
        <v>384</v>
      </c>
      <c r="G129" s="65" t="str">
        <f t="shared" ref="G129" si="86">"1TS"&amp;B117&amp;"/"&amp;LEFT(E129,1)&amp;"U"</f>
        <v>1TS4/5U</v>
      </c>
      <c r="H129" s="65" t="str">
        <f t="shared" si="60"/>
        <v>1TS4/5U-*-*/1TS4/5U-Y2</v>
      </c>
      <c r="I129" s="65" t="s">
        <v>33</v>
      </c>
      <c r="J129" s="65" t="s">
        <v>33</v>
      </c>
      <c r="K129" s="65" t="str">
        <f t="shared" si="61"/>
        <v>1TS4/5U-Y2/*-*-1TS4/5U</v>
      </c>
      <c r="L129" s="64" t="str">
        <f t="shared" ref="L129" si="87">G129&amp;"-"&amp;RIGHT(M129,2)</f>
        <v>1TS4/5U-Y2</v>
      </c>
      <c r="M129" s="91" t="str">
        <f t="shared" ref="M129" si="88">"RTD-0"&amp;B117&amp;" VTP-0"&amp;B117&amp;" Winding Temperature Y2"</f>
        <v>RTD-04 VTP-04 Winding Temperature Y2</v>
      </c>
      <c r="N129" s="88"/>
    </row>
    <row r="130" spans="2:14" ht="30" customHeight="1" x14ac:dyDescent="0.45">
      <c r="B130" s="87"/>
      <c r="C130" s="88"/>
      <c r="D130" s="89"/>
      <c r="E130" s="88"/>
      <c r="F130" s="88"/>
      <c r="G130" s="65" t="str">
        <f t="shared" ref="G130" si="89">"1TS"&amp;B117&amp;"/"&amp;LEFT(E129,1)&amp;"M"</f>
        <v>1TS4/5M</v>
      </c>
      <c r="H130" s="65" t="str">
        <f t="shared" si="60"/>
        <v>1TS4/5M-*-*/1TS4/5M-Y2</v>
      </c>
      <c r="I130" s="65" t="s">
        <v>33</v>
      </c>
      <c r="J130" s="65" t="s">
        <v>33</v>
      </c>
      <c r="K130" s="65" t="str">
        <f t="shared" si="61"/>
        <v>1TS4/5M-Y2/*-*-1TS4/5M</v>
      </c>
      <c r="L130" s="64" t="str">
        <f t="shared" ref="L130" si="90">G130&amp;"-"&amp;RIGHT(M129,2)</f>
        <v>1TS4/5M-Y2</v>
      </c>
      <c r="M130" s="91"/>
      <c r="N130" s="88"/>
    </row>
    <row r="131" spans="2:14" ht="30" customHeight="1" x14ac:dyDescent="0.45">
      <c r="B131" s="87"/>
      <c r="C131" s="88"/>
      <c r="D131" s="89"/>
      <c r="E131" s="88"/>
      <c r="F131" s="88"/>
      <c r="G131" s="65" t="str">
        <f t="shared" ref="G131" si="91">"1TS"&amp;B117&amp;"/"&amp;LEFT(E129,1)&amp;"L"</f>
        <v>1TS4/5L</v>
      </c>
      <c r="H131" s="65" t="str">
        <f t="shared" si="60"/>
        <v>1TS4/5L-*-*/1TS4/5L-Y2</v>
      </c>
      <c r="I131" s="65" t="s">
        <v>33</v>
      </c>
      <c r="J131" s="65" t="s">
        <v>33</v>
      </c>
      <c r="K131" s="65" t="str">
        <f t="shared" si="61"/>
        <v>1TS4/5L-Y2/*-*-1TS4/5L</v>
      </c>
      <c r="L131" s="64" t="str">
        <f t="shared" ref="L131" si="92">G131&amp;"-"&amp;RIGHT(M129,2)</f>
        <v>1TS4/5L-Y2</v>
      </c>
      <c r="M131" s="91"/>
      <c r="N131" s="88"/>
    </row>
    <row r="132" spans="2:14" ht="30" customHeight="1" x14ac:dyDescent="0.45">
      <c r="B132" s="87"/>
      <c r="C132" s="88"/>
      <c r="D132" s="89"/>
      <c r="E132" s="88" t="s">
        <v>336</v>
      </c>
      <c r="F132" s="88" t="s">
        <v>385</v>
      </c>
      <c r="G132" s="65" t="str">
        <f t="shared" ref="G132" si="93">"1TS"&amp;B117&amp;"/"&amp;LEFT(E132,1)&amp;"U"</f>
        <v>1TS4/6U</v>
      </c>
      <c r="H132" s="65" t="str">
        <f t="shared" si="60"/>
        <v>1TS4/6U-*-*/1TS4/6U-B2</v>
      </c>
      <c r="I132" s="65" t="s">
        <v>33</v>
      </c>
      <c r="J132" s="65" t="s">
        <v>33</v>
      </c>
      <c r="K132" s="65" t="str">
        <f t="shared" si="61"/>
        <v>1TS4/6U-B2/*-*-1TS4/6U</v>
      </c>
      <c r="L132" s="64" t="str">
        <f t="shared" ref="L132" si="94">G132&amp;"-"&amp;RIGHT(M132,2)</f>
        <v>1TS4/6U-B2</v>
      </c>
      <c r="M132" s="91" t="str">
        <f t="shared" ref="M132" si="95">"RTD-0"&amp;B117&amp;" VTP-0"&amp;B117&amp;" Winding Temperature B2"</f>
        <v>RTD-04 VTP-04 Winding Temperature B2</v>
      </c>
      <c r="N132" s="88"/>
    </row>
    <row r="133" spans="2:14" ht="30" customHeight="1" x14ac:dyDescent="0.45">
      <c r="B133" s="87"/>
      <c r="C133" s="88"/>
      <c r="D133" s="89"/>
      <c r="E133" s="88"/>
      <c r="F133" s="88"/>
      <c r="G133" s="65" t="str">
        <f t="shared" ref="G133" si="96">"1TS"&amp;B117&amp;"/"&amp;LEFT(E132,1)&amp;"M"</f>
        <v>1TS4/6M</v>
      </c>
      <c r="H133" s="65" t="str">
        <f t="shared" si="60"/>
        <v>1TS4/6M-*-*/1TS4/6M-B2</v>
      </c>
      <c r="I133" s="65" t="s">
        <v>33</v>
      </c>
      <c r="J133" s="65" t="s">
        <v>33</v>
      </c>
      <c r="K133" s="65" t="str">
        <f t="shared" si="61"/>
        <v>1TS4/6M-B2/*-*-1TS4/6M</v>
      </c>
      <c r="L133" s="64" t="str">
        <f t="shared" ref="L133" si="97">G133&amp;"-"&amp;RIGHT(M132,2)</f>
        <v>1TS4/6M-B2</v>
      </c>
      <c r="M133" s="91"/>
      <c r="N133" s="88"/>
    </row>
    <row r="134" spans="2:14" ht="30" customHeight="1" x14ac:dyDescent="0.45">
      <c r="B134" s="87"/>
      <c r="C134" s="88"/>
      <c r="D134" s="89"/>
      <c r="E134" s="88"/>
      <c r="F134" s="88"/>
      <c r="G134" s="65" t="str">
        <f t="shared" ref="G134" si="98">"1TS"&amp;B117&amp;"/"&amp;LEFT(E132,1)&amp;"L"</f>
        <v>1TS4/6L</v>
      </c>
      <c r="H134" s="65" t="str">
        <f t="shared" si="60"/>
        <v>1TS4/6L-*-*/1TS4/6L-B2</v>
      </c>
      <c r="I134" s="65" t="s">
        <v>33</v>
      </c>
      <c r="J134" s="65" t="s">
        <v>33</v>
      </c>
      <c r="K134" s="65" t="str">
        <f t="shared" si="61"/>
        <v>1TS4/6L-B2/*-*-1TS4/6L</v>
      </c>
      <c r="L134" s="64" t="str">
        <f t="shared" ref="L134" si="99">G134&amp;"-"&amp;RIGHT(M132,2)</f>
        <v>1TS4/6L-B2</v>
      </c>
      <c r="M134" s="91"/>
      <c r="N134" s="88"/>
    </row>
    <row r="135" spans="2:14" ht="30" customHeight="1" x14ac:dyDescent="0.45">
      <c r="B135" s="87"/>
      <c r="C135" s="88"/>
      <c r="D135" s="89"/>
      <c r="E135" s="88" t="s">
        <v>337</v>
      </c>
      <c r="F135" s="88" t="s">
        <v>386</v>
      </c>
      <c r="G135" s="65" t="str">
        <f t="shared" ref="G135" si="100">"1TS"&amp;B117&amp;"/"&amp;LEFT(E135,1)&amp;"U"</f>
        <v>1TS4/7U</v>
      </c>
      <c r="H135" s="65" t="str">
        <f t="shared" si="60"/>
        <v>1TS4/7U-*-*/1TS4/7U-NDE</v>
      </c>
      <c r="I135" s="65" t="s">
        <v>33</v>
      </c>
      <c r="J135" s="65" t="s">
        <v>33</v>
      </c>
      <c r="K135" s="65" t="str">
        <f t="shared" si="61"/>
        <v>1TS4/7U-NDE/*-*-1TS4/7U</v>
      </c>
      <c r="L135" s="64" t="str">
        <f t="shared" ref="L135:L137" si="101">G135&amp;"-"&amp;"NDE"</f>
        <v>1TS4/7U-NDE</v>
      </c>
      <c r="M135" s="91" t="str">
        <f t="shared" ref="M135" si="102">"RTD-0"&amp;B117&amp;" VTP-0"&amp;B117&amp;" Bearing Temperature Non-Drive End"</f>
        <v>RTD-04 VTP-04 Bearing Temperature Non-Drive End</v>
      </c>
      <c r="N135" s="88"/>
    </row>
    <row r="136" spans="2:14" ht="30" customHeight="1" x14ac:dyDescent="0.45">
      <c r="B136" s="87"/>
      <c r="C136" s="88"/>
      <c r="D136" s="89"/>
      <c r="E136" s="88"/>
      <c r="F136" s="88"/>
      <c r="G136" s="65" t="str">
        <f t="shared" ref="G136" si="103">"1TS"&amp;B117&amp;"/"&amp;LEFT(E135,1)&amp;"M"</f>
        <v>1TS4/7M</v>
      </c>
      <c r="H136" s="65" t="str">
        <f t="shared" si="60"/>
        <v>1TS4/7M-*-*/1TS4/7M-NDE</v>
      </c>
      <c r="I136" s="65" t="s">
        <v>33</v>
      </c>
      <c r="J136" s="65" t="s">
        <v>33</v>
      </c>
      <c r="K136" s="65" t="str">
        <f t="shared" si="61"/>
        <v>1TS4/7M-NDE/*-*-1TS4/7M</v>
      </c>
      <c r="L136" s="64" t="str">
        <f t="shared" si="101"/>
        <v>1TS4/7M-NDE</v>
      </c>
      <c r="M136" s="91"/>
      <c r="N136" s="88"/>
    </row>
    <row r="137" spans="2:14" ht="30" customHeight="1" x14ac:dyDescent="0.45">
      <c r="B137" s="87"/>
      <c r="C137" s="88"/>
      <c r="D137" s="89"/>
      <c r="E137" s="88"/>
      <c r="F137" s="88"/>
      <c r="G137" s="65" t="str">
        <f t="shared" ref="G137" si="104">"1TS"&amp;B117&amp;"/"&amp;LEFT(E135,1)&amp;"L"</f>
        <v>1TS4/7L</v>
      </c>
      <c r="H137" s="65" t="str">
        <f t="shared" si="60"/>
        <v>1TS4/7L-*-*/1TS4/7L-NDE</v>
      </c>
      <c r="I137" s="65" t="s">
        <v>33</v>
      </c>
      <c r="J137" s="65" t="s">
        <v>33</v>
      </c>
      <c r="K137" s="65" t="str">
        <f t="shared" si="61"/>
        <v>1TS4/7L-NDE/*-*-1TS4/7L</v>
      </c>
      <c r="L137" s="64" t="str">
        <f t="shared" si="101"/>
        <v>1TS4/7L-NDE</v>
      </c>
      <c r="M137" s="91"/>
      <c r="N137" s="88"/>
    </row>
    <row r="138" spans="2:14" ht="30" customHeight="1" x14ac:dyDescent="0.45">
      <c r="B138" s="87"/>
      <c r="C138" s="88"/>
      <c r="D138" s="89"/>
      <c r="E138" s="88" t="s">
        <v>338</v>
      </c>
      <c r="F138" s="88" t="s">
        <v>387</v>
      </c>
      <c r="G138" s="65" t="str">
        <f t="shared" ref="G138" si="105">"1TS"&amp;B117&amp;"/"&amp;LEFT(E138,1)&amp;"U"</f>
        <v>1TS4/8U</v>
      </c>
      <c r="H138" s="65" t="str">
        <f t="shared" si="60"/>
        <v>1TS4/8U-*-*/1TS4/8U-DE</v>
      </c>
      <c r="I138" s="65" t="s">
        <v>33</v>
      </c>
      <c r="J138" s="65" t="s">
        <v>33</v>
      </c>
      <c r="K138" s="65" t="str">
        <f t="shared" si="61"/>
        <v>1TS4/8U-DE/*-*-1TS4/8U</v>
      </c>
      <c r="L138" s="64" t="str">
        <f t="shared" ref="L138:L140" si="106">G138&amp;"-"&amp;"DE"</f>
        <v>1TS4/8U-DE</v>
      </c>
      <c r="M138" s="91" t="str">
        <f t="shared" ref="M138" si="107">"RTD-0"&amp;B117&amp;" VTP-0"&amp;B117&amp;" Bearing Temperature Drive End"</f>
        <v>RTD-04 VTP-04 Bearing Temperature Drive End</v>
      </c>
      <c r="N138" s="88"/>
    </row>
    <row r="139" spans="2:14" ht="30" customHeight="1" x14ac:dyDescent="0.45">
      <c r="B139" s="87"/>
      <c r="C139" s="88"/>
      <c r="D139" s="89"/>
      <c r="E139" s="88"/>
      <c r="F139" s="88"/>
      <c r="G139" s="65" t="str">
        <f t="shared" ref="G139" si="108">"1TS"&amp;B117&amp;"/"&amp;LEFT(E138,1)&amp;"M"</f>
        <v>1TS4/8M</v>
      </c>
      <c r="H139" s="65" t="str">
        <f t="shared" si="60"/>
        <v>1TS4/8M-*-*/1TS4/8M-DE</v>
      </c>
      <c r="I139" s="65" t="s">
        <v>33</v>
      </c>
      <c r="J139" s="65" t="s">
        <v>33</v>
      </c>
      <c r="K139" s="65" t="str">
        <f t="shared" si="61"/>
        <v>1TS4/8M-DE/*-*-1TS4/8M</v>
      </c>
      <c r="L139" s="64" t="str">
        <f t="shared" si="106"/>
        <v>1TS4/8M-DE</v>
      </c>
      <c r="M139" s="91"/>
      <c r="N139" s="88"/>
    </row>
    <row r="140" spans="2:14" ht="30" customHeight="1" x14ac:dyDescent="0.45">
      <c r="B140" s="87"/>
      <c r="C140" s="88"/>
      <c r="D140" s="89"/>
      <c r="E140" s="88"/>
      <c r="F140" s="88"/>
      <c r="G140" s="65" t="str">
        <f t="shared" ref="G140" si="109">"1TS"&amp;B117&amp;"/"&amp;LEFT(E138,1)&amp;"L"</f>
        <v>1TS4/8L</v>
      </c>
      <c r="H140" s="65" t="str">
        <f t="shared" si="60"/>
        <v>1TS4/8L-*-*/1TS4/8L-DE</v>
      </c>
      <c r="I140" s="65" t="s">
        <v>33</v>
      </c>
      <c r="J140" s="65" t="s">
        <v>33</v>
      </c>
      <c r="K140" s="65" t="str">
        <f t="shared" si="61"/>
        <v>1TS4/8L-DE/*-*-1TS4/8L</v>
      </c>
      <c r="L140" s="64" t="str">
        <f t="shared" si="106"/>
        <v>1TS4/8L-DE</v>
      </c>
      <c r="M140" s="91"/>
      <c r="N140" s="88"/>
    </row>
    <row r="141" spans="2:14" ht="30" customHeight="1" x14ac:dyDescent="0.45">
      <c r="B141" s="87"/>
      <c r="C141" s="88"/>
      <c r="D141" s="89"/>
      <c r="E141" s="88" t="s">
        <v>339</v>
      </c>
      <c r="F141" s="88" t="s">
        <v>45</v>
      </c>
      <c r="G141" s="65" t="s">
        <v>45</v>
      </c>
      <c r="H141" s="65" t="s">
        <v>45</v>
      </c>
      <c r="I141" s="65" t="s">
        <v>45</v>
      </c>
      <c r="J141" s="65" t="s">
        <v>45</v>
      </c>
      <c r="K141" s="65" t="s">
        <v>45</v>
      </c>
      <c r="L141" s="69" t="s">
        <v>45</v>
      </c>
      <c r="M141" s="90" t="s">
        <v>34</v>
      </c>
      <c r="N141" s="88"/>
    </row>
    <row r="142" spans="2:14" ht="30" customHeight="1" x14ac:dyDescent="0.45">
      <c r="B142" s="87"/>
      <c r="C142" s="88"/>
      <c r="D142" s="89"/>
      <c r="E142" s="88"/>
      <c r="F142" s="88"/>
      <c r="G142" s="65" t="s">
        <v>45</v>
      </c>
      <c r="H142" s="65" t="s">
        <v>45</v>
      </c>
      <c r="I142" s="65" t="s">
        <v>45</v>
      </c>
      <c r="J142" s="65" t="s">
        <v>45</v>
      </c>
      <c r="K142" s="65" t="s">
        <v>45</v>
      </c>
      <c r="L142" s="69" t="s">
        <v>45</v>
      </c>
      <c r="M142" s="90"/>
      <c r="N142" s="88"/>
    </row>
    <row r="143" spans="2:14" ht="30" customHeight="1" x14ac:dyDescent="0.45">
      <c r="B143" s="87"/>
      <c r="C143" s="88"/>
      <c r="D143" s="89"/>
      <c r="E143" s="88"/>
      <c r="F143" s="88"/>
      <c r="G143" s="65" t="s">
        <v>45</v>
      </c>
      <c r="H143" s="65" t="s">
        <v>45</v>
      </c>
      <c r="I143" s="65" t="s">
        <v>45</v>
      </c>
      <c r="J143" s="65" t="s">
        <v>45</v>
      </c>
      <c r="K143" s="65" t="s">
        <v>45</v>
      </c>
      <c r="L143" s="69" t="s">
        <v>45</v>
      </c>
      <c r="M143" s="90"/>
      <c r="N143" s="88"/>
    </row>
    <row r="144" spans="2:14" ht="30" customHeight="1" x14ac:dyDescent="0.45">
      <c r="B144" s="87"/>
      <c r="C144" s="88"/>
      <c r="D144" s="89"/>
      <c r="E144" s="88" t="s">
        <v>340</v>
      </c>
      <c r="F144" s="88" t="s">
        <v>45</v>
      </c>
      <c r="G144" s="65" t="s">
        <v>45</v>
      </c>
      <c r="H144" s="65" t="s">
        <v>45</v>
      </c>
      <c r="I144" s="65" t="s">
        <v>45</v>
      </c>
      <c r="J144" s="65" t="s">
        <v>45</v>
      </c>
      <c r="K144" s="65" t="s">
        <v>45</v>
      </c>
      <c r="L144" s="69" t="s">
        <v>45</v>
      </c>
      <c r="M144" s="90" t="s">
        <v>34</v>
      </c>
      <c r="N144" s="88"/>
    </row>
    <row r="145" spans="2:14" ht="30" customHeight="1" x14ac:dyDescent="0.45">
      <c r="B145" s="87"/>
      <c r="C145" s="88"/>
      <c r="D145" s="89"/>
      <c r="E145" s="88"/>
      <c r="F145" s="88"/>
      <c r="G145" s="65" t="s">
        <v>45</v>
      </c>
      <c r="H145" s="65" t="s">
        <v>45</v>
      </c>
      <c r="I145" s="65" t="s">
        <v>45</v>
      </c>
      <c r="J145" s="65" t="s">
        <v>45</v>
      </c>
      <c r="K145" s="65" t="s">
        <v>45</v>
      </c>
      <c r="L145" s="69" t="s">
        <v>45</v>
      </c>
      <c r="M145" s="90"/>
      <c r="N145" s="88"/>
    </row>
    <row r="146" spans="2:14" ht="30" customHeight="1" x14ac:dyDescent="0.45">
      <c r="B146" s="87"/>
      <c r="C146" s="88"/>
      <c r="D146" s="89"/>
      <c r="E146" s="88"/>
      <c r="F146" s="88"/>
      <c r="G146" s="65" t="s">
        <v>45</v>
      </c>
      <c r="H146" s="65" t="s">
        <v>45</v>
      </c>
      <c r="I146" s="65" t="s">
        <v>45</v>
      </c>
      <c r="J146" s="65" t="s">
        <v>45</v>
      </c>
      <c r="K146" s="65" t="s">
        <v>45</v>
      </c>
      <c r="L146" s="69" t="s">
        <v>45</v>
      </c>
      <c r="M146" s="90"/>
      <c r="N146" s="88"/>
    </row>
    <row r="147" spans="2:14" ht="30" customHeight="1" x14ac:dyDescent="0.45">
      <c r="B147" s="87"/>
      <c r="C147" s="88"/>
      <c r="D147" s="89"/>
      <c r="E147" s="88" t="s">
        <v>341</v>
      </c>
      <c r="F147" s="88" t="s">
        <v>45</v>
      </c>
      <c r="G147" s="65" t="s">
        <v>45</v>
      </c>
      <c r="H147" s="65" t="s">
        <v>45</v>
      </c>
      <c r="I147" s="65" t="s">
        <v>45</v>
      </c>
      <c r="J147" s="65" t="s">
        <v>45</v>
      </c>
      <c r="K147" s="65" t="s">
        <v>45</v>
      </c>
      <c r="L147" s="69" t="s">
        <v>45</v>
      </c>
      <c r="M147" s="90" t="s">
        <v>34</v>
      </c>
      <c r="N147" s="88"/>
    </row>
    <row r="148" spans="2:14" ht="30" customHeight="1" x14ac:dyDescent="0.45">
      <c r="B148" s="87"/>
      <c r="C148" s="88"/>
      <c r="D148" s="89"/>
      <c r="E148" s="88"/>
      <c r="F148" s="88"/>
      <c r="G148" s="65" t="s">
        <v>45</v>
      </c>
      <c r="H148" s="65" t="s">
        <v>45</v>
      </c>
      <c r="I148" s="65" t="s">
        <v>45</v>
      </c>
      <c r="J148" s="65" t="s">
        <v>45</v>
      </c>
      <c r="K148" s="65" t="s">
        <v>45</v>
      </c>
      <c r="L148" s="69" t="s">
        <v>45</v>
      </c>
      <c r="M148" s="90"/>
      <c r="N148" s="88"/>
    </row>
    <row r="149" spans="2:14" ht="30" customHeight="1" x14ac:dyDescent="0.45">
      <c r="B149" s="87"/>
      <c r="C149" s="88"/>
      <c r="D149" s="89"/>
      <c r="E149" s="88"/>
      <c r="F149" s="88"/>
      <c r="G149" s="65" t="s">
        <v>45</v>
      </c>
      <c r="H149" s="65" t="s">
        <v>45</v>
      </c>
      <c r="I149" s="65" t="s">
        <v>45</v>
      </c>
      <c r="J149" s="65" t="s">
        <v>45</v>
      </c>
      <c r="K149" s="65" t="s">
        <v>45</v>
      </c>
      <c r="L149" s="69" t="s">
        <v>45</v>
      </c>
      <c r="M149" s="90"/>
      <c r="N149" s="88"/>
    </row>
    <row r="150" spans="2:14" ht="30" customHeight="1" x14ac:dyDescent="0.45">
      <c r="B150" s="87"/>
      <c r="C150" s="88"/>
      <c r="D150" s="89"/>
      <c r="E150" s="88" t="s">
        <v>342</v>
      </c>
      <c r="F150" s="88" t="s">
        <v>45</v>
      </c>
      <c r="G150" s="65" t="s">
        <v>45</v>
      </c>
      <c r="H150" s="65" t="s">
        <v>45</v>
      </c>
      <c r="I150" s="65" t="s">
        <v>45</v>
      </c>
      <c r="J150" s="65" t="s">
        <v>45</v>
      </c>
      <c r="K150" s="65" t="s">
        <v>45</v>
      </c>
      <c r="L150" s="69" t="s">
        <v>45</v>
      </c>
      <c r="M150" s="90" t="s">
        <v>34</v>
      </c>
      <c r="N150" s="88"/>
    </row>
    <row r="151" spans="2:14" ht="30" customHeight="1" x14ac:dyDescent="0.45">
      <c r="B151" s="87"/>
      <c r="C151" s="88"/>
      <c r="D151" s="89"/>
      <c r="E151" s="88"/>
      <c r="F151" s="88"/>
      <c r="G151" s="65" t="s">
        <v>45</v>
      </c>
      <c r="H151" s="65" t="s">
        <v>45</v>
      </c>
      <c r="I151" s="65" t="s">
        <v>45</v>
      </c>
      <c r="J151" s="65" t="s">
        <v>45</v>
      </c>
      <c r="K151" s="65" t="s">
        <v>45</v>
      </c>
      <c r="L151" s="69" t="s">
        <v>45</v>
      </c>
      <c r="M151" s="90"/>
      <c r="N151" s="88"/>
    </row>
    <row r="152" spans="2:14" ht="30" customHeight="1" x14ac:dyDescent="0.45">
      <c r="B152" s="87"/>
      <c r="C152" s="88"/>
      <c r="D152" s="89"/>
      <c r="E152" s="88"/>
      <c r="F152" s="88"/>
      <c r="G152" s="65" t="s">
        <v>45</v>
      </c>
      <c r="H152" s="65" t="s">
        <v>45</v>
      </c>
      <c r="I152" s="65" t="s">
        <v>45</v>
      </c>
      <c r="J152" s="65" t="s">
        <v>45</v>
      </c>
      <c r="K152" s="65" t="s">
        <v>45</v>
      </c>
      <c r="L152" s="69" t="s">
        <v>45</v>
      </c>
      <c r="M152" s="90"/>
      <c r="N152" s="88"/>
    </row>
    <row r="153" spans="2:14" ht="30" customHeight="1" x14ac:dyDescent="0.45">
      <c r="B153" s="87">
        <f t="shared" ref="B153" si="110">B117+1</f>
        <v>5</v>
      </c>
      <c r="C153" s="88" t="str">
        <f t="shared" ref="C153" si="111">"TS-0"&amp;B153</f>
        <v>TS-05</v>
      </c>
      <c r="D153" s="89" t="s">
        <v>379</v>
      </c>
      <c r="E153" s="88" t="s">
        <v>331</v>
      </c>
      <c r="F153" s="88" t="s">
        <v>388</v>
      </c>
      <c r="G153" s="65" t="str">
        <f t="shared" ref="G153" si="112">"1TS"&amp;B153&amp;"/"&amp;LEFT(E153,1)&amp;"U"</f>
        <v>1TS5/1U</v>
      </c>
      <c r="H153" s="65" t="str">
        <f>_xlfn.CONCAT(G153,"-",J153,"-",I153,"/",L153)</f>
        <v>1TS5/1U-*-*/1TS5/1U-R1</v>
      </c>
      <c r="I153" s="65" t="s">
        <v>33</v>
      </c>
      <c r="J153" s="65" t="s">
        <v>33</v>
      </c>
      <c r="K153" s="65" t="str">
        <f>_xlfn.CONCAT(L153,"/",J153,"-",I153,"-",G153)</f>
        <v>1TS5/1U-R1/*-*-1TS5/1U</v>
      </c>
      <c r="L153" s="64" t="str">
        <f t="shared" ref="L153" si="113">G153&amp;"-"&amp;RIGHT(M153,2)</f>
        <v>1TS5/1U-R1</v>
      </c>
      <c r="M153" s="91" t="str">
        <f t="shared" ref="M153" si="114">"RTD-0"&amp;B153&amp;" VTP-0"&amp;B153&amp;" Winding Temperature R1"</f>
        <v>RTD-05 VTP-05 Winding Temperature R1</v>
      </c>
      <c r="N153" s="88"/>
    </row>
    <row r="154" spans="2:14" ht="30" customHeight="1" x14ac:dyDescent="0.45">
      <c r="B154" s="87"/>
      <c r="C154" s="88"/>
      <c r="D154" s="89"/>
      <c r="E154" s="88"/>
      <c r="F154" s="88"/>
      <c r="G154" s="65" t="str">
        <f t="shared" ref="G154" si="115">"1TS"&amp;B153&amp;"/"&amp;LEFT(E153,1)&amp;"M"</f>
        <v>1TS5/1M</v>
      </c>
      <c r="H154" s="65" t="str">
        <f t="shared" ref="H154:H176" si="116">_xlfn.CONCAT(G154,"-",J154,"-",I154,"/",L154)</f>
        <v>1TS5/1M-*-*/1TS5/1M-R1</v>
      </c>
      <c r="I154" s="65" t="s">
        <v>33</v>
      </c>
      <c r="J154" s="65" t="s">
        <v>33</v>
      </c>
      <c r="K154" s="65" t="str">
        <f t="shared" ref="K154:K176" si="117">_xlfn.CONCAT(L154,"/",J154,"-",I154,"-",G154)</f>
        <v>1TS5/1M-R1/*-*-1TS5/1M</v>
      </c>
      <c r="L154" s="64" t="str">
        <f t="shared" ref="L154" si="118">G154&amp;"-"&amp;RIGHT(M153,2)</f>
        <v>1TS5/1M-R1</v>
      </c>
      <c r="M154" s="91"/>
      <c r="N154" s="88"/>
    </row>
    <row r="155" spans="2:14" ht="30" customHeight="1" x14ac:dyDescent="0.45">
      <c r="B155" s="87"/>
      <c r="C155" s="88"/>
      <c r="D155" s="89"/>
      <c r="E155" s="88"/>
      <c r="F155" s="88"/>
      <c r="G155" s="65" t="str">
        <f t="shared" ref="G155" si="119">"1TS"&amp;B153&amp;"/"&amp;LEFT(E153,1)&amp;"L"</f>
        <v>1TS5/1L</v>
      </c>
      <c r="H155" s="65" t="str">
        <f t="shared" si="116"/>
        <v>1TS5/1L-*-*/1TS5/1L-R1</v>
      </c>
      <c r="I155" s="65" t="s">
        <v>33</v>
      </c>
      <c r="J155" s="65" t="s">
        <v>33</v>
      </c>
      <c r="K155" s="65" t="str">
        <f t="shared" si="117"/>
        <v>1TS5/1L-R1/*-*-1TS5/1L</v>
      </c>
      <c r="L155" s="64" t="str">
        <f t="shared" ref="L155" si="120">G155&amp;"-"&amp;RIGHT(M153,2)</f>
        <v>1TS5/1L-R1</v>
      </c>
      <c r="M155" s="91"/>
      <c r="N155" s="88"/>
    </row>
    <row r="156" spans="2:14" ht="30" customHeight="1" x14ac:dyDescent="0.45">
      <c r="B156" s="87"/>
      <c r="C156" s="88"/>
      <c r="D156" s="89"/>
      <c r="E156" s="88" t="s">
        <v>332</v>
      </c>
      <c r="F156" s="88" t="s">
        <v>389</v>
      </c>
      <c r="G156" s="65" t="str">
        <f t="shared" ref="G156" si="121">"1TS"&amp;B153&amp;"/"&amp;LEFT(E156,1)&amp;"U"</f>
        <v>1TS5/2U</v>
      </c>
      <c r="H156" s="65" t="str">
        <f t="shared" si="116"/>
        <v>1TS5/2U-*-*/1TS5/2U-Y1</v>
      </c>
      <c r="I156" s="65" t="s">
        <v>33</v>
      </c>
      <c r="J156" s="65" t="s">
        <v>33</v>
      </c>
      <c r="K156" s="65" t="str">
        <f t="shared" si="117"/>
        <v>1TS5/2U-Y1/*-*-1TS5/2U</v>
      </c>
      <c r="L156" s="64" t="str">
        <f t="shared" ref="L156" si="122">G156&amp;"-"&amp;RIGHT(M156,2)</f>
        <v>1TS5/2U-Y1</v>
      </c>
      <c r="M156" s="91" t="str">
        <f t="shared" ref="M156" si="123">"RTD-0"&amp;B153&amp;" VTP-0"&amp;B153&amp;" Winding Temperature Y1"</f>
        <v>RTD-05 VTP-05 Winding Temperature Y1</v>
      </c>
      <c r="N156" s="88"/>
    </row>
    <row r="157" spans="2:14" ht="30" customHeight="1" x14ac:dyDescent="0.45">
      <c r="B157" s="87"/>
      <c r="C157" s="88"/>
      <c r="D157" s="89"/>
      <c r="E157" s="88"/>
      <c r="F157" s="88"/>
      <c r="G157" s="65" t="str">
        <f t="shared" ref="G157" si="124">"1TS"&amp;B153&amp;"/"&amp;LEFT(E156,1)&amp;"M"</f>
        <v>1TS5/2M</v>
      </c>
      <c r="H157" s="65" t="str">
        <f t="shared" si="116"/>
        <v>1TS5/2M-*-*/1TS5/2M-Y1</v>
      </c>
      <c r="I157" s="65" t="s">
        <v>33</v>
      </c>
      <c r="J157" s="65" t="s">
        <v>33</v>
      </c>
      <c r="K157" s="65" t="str">
        <f t="shared" si="117"/>
        <v>1TS5/2M-Y1/*-*-1TS5/2M</v>
      </c>
      <c r="L157" s="64" t="str">
        <f t="shared" ref="L157" si="125">G157&amp;"-"&amp;RIGHT(M156,2)</f>
        <v>1TS5/2M-Y1</v>
      </c>
      <c r="M157" s="91"/>
      <c r="N157" s="88"/>
    </row>
    <row r="158" spans="2:14" ht="30" customHeight="1" x14ac:dyDescent="0.45">
      <c r="B158" s="87"/>
      <c r="C158" s="88"/>
      <c r="D158" s="89"/>
      <c r="E158" s="88"/>
      <c r="F158" s="88"/>
      <c r="G158" s="65" t="str">
        <f t="shared" ref="G158" si="126">"1TS"&amp;B153&amp;"/"&amp;LEFT(E156,1)&amp;"L"</f>
        <v>1TS5/2L</v>
      </c>
      <c r="H158" s="65" t="str">
        <f t="shared" si="116"/>
        <v>1TS5/2L-*-*/1TS5/2L-Y1</v>
      </c>
      <c r="I158" s="65" t="s">
        <v>33</v>
      </c>
      <c r="J158" s="65" t="s">
        <v>33</v>
      </c>
      <c r="K158" s="65" t="str">
        <f t="shared" si="117"/>
        <v>1TS5/2L-Y1/*-*-1TS5/2L</v>
      </c>
      <c r="L158" s="64" t="str">
        <f t="shared" ref="L158" si="127">G158&amp;"-"&amp;RIGHT(M156,2)</f>
        <v>1TS5/2L-Y1</v>
      </c>
      <c r="M158" s="91"/>
      <c r="N158" s="88"/>
    </row>
    <row r="159" spans="2:14" ht="30" customHeight="1" x14ac:dyDescent="0.45">
      <c r="B159" s="87"/>
      <c r="C159" s="88"/>
      <c r="D159" s="89"/>
      <c r="E159" s="88" t="s">
        <v>333</v>
      </c>
      <c r="F159" s="88" t="s">
        <v>390</v>
      </c>
      <c r="G159" s="65" t="str">
        <f t="shared" ref="G159" si="128">"1TS"&amp;B153&amp;"/"&amp;LEFT(E159,1)&amp;"U"</f>
        <v>1TS5/3U</v>
      </c>
      <c r="H159" s="65" t="str">
        <f t="shared" si="116"/>
        <v>1TS5/3U-*-*/1TS5/3U-B1</v>
      </c>
      <c r="I159" s="65" t="s">
        <v>33</v>
      </c>
      <c r="J159" s="65" t="s">
        <v>33</v>
      </c>
      <c r="K159" s="65" t="str">
        <f t="shared" si="117"/>
        <v>1TS5/3U-B1/*-*-1TS5/3U</v>
      </c>
      <c r="L159" s="64" t="str">
        <f t="shared" ref="L159" si="129">G159&amp;"-"&amp;RIGHT(M159,2)</f>
        <v>1TS5/3U-B1</v>
      </c>
      <c r="M159" s="91" t="str">
        <f t="shared" ref="M159" si="130">"RTD-0"&amp;B153&amp;" VTP-0"&amp;B153&amp;" Winding Temperature B1"</f>
        <v>RTD-05 VTP-05 Winding Temperature B1</v>
      </c>
      <c r="N159" s="88"/>
    </row>
    <row r="160" spans="2:14" ht="30" customHeight="1" x14ac:dyDescent="0.45">
      <c r="B160" s="87"/>
      <c r="C160" s="88"/>
      <c r="D160" s="89"/>
      <c r="E160" s="88"/>
      <c r="F160" s="88"/>
      <c r="G160" s="65" t="str">
        <f t="shared" ref="G160" si="131">"1TS"&amp;B153&amp;"/"&amp;LEFT(E159,1)&amp;"M"</f>
        <v>1TS5/3M</v>
      </c>
      <c r="H160" s="65" t="str">
        <f t="shared" si="116"/>
        <v>1TS5/3M-*-*/1TS5/3M-B1</v>
      </c>
      <c r="I160" s="65" t="s">
        <v>33</v>
      </c>
      <c r="J160" s="65" t="s">
        <v>33</v>
      </c>
      <c r="K160" s="65" t="str">
        <f t="shared" si="117"/>
        <v>1TS5/3M-B1/*-*-1TS5/3M</v>
      </c>
      <c r="L160" s="64" t="str">
        <f t="shared" ref="L160" si="132">G160&amp;"-"&amp;RIGHT(M159,2)</f>
        <v>1TS5/3M-B1</v>
      </c>
      <c r="M160" s="91"/>
      <c r="N160" s="88"/>
    </row>
    <row r="161" spans="2:14" ht="30" customHeight="1" x14ac:dyDescent="0.45">
      <c r="B161" s="87"/>
      <c r="C161" s="88"/>
      <c r="D161" s="89"/>
      <c r="E161" s="88"/>
      <c r="F161" s="88"/>
      <c r="G161" s="65" t="str">
        <f t="shared" ref="G161" si="133">"1TS"&amp;B153&amp;"/"&amp;LEFT(E159,1)&amp;"L"</f>
        <v>1TS5/3L</v>
      </c>
      <c r="H161" s="65" t="str">
        <f t="shared" si="116"/>
        <v>1TS5/3L-*-*/1TS5/3L-B1</v>
      </c>
      <c r="I161" s="65" t="s">
        <v>33</v>
      </c>
      <c r="J161" s="65" t="s">
        <v>33</v>
      </c>
      <c r="K161" s="65" t="str">
        <f t="shared" si="117"/>
        <v>1TS5/3L-B1/*-*-1TS5/3L</v>
      </c>
      <c r="L161" s="64" t="str">
        <f t="shared" ref="L161" si="134">G161&amp;"-"&amp;RIGHT(M159,2)</f>
        <v>1TS5/3L-B1</v>
      </c>
      <c r="M161" s="91"/>
      <c r="N161" s="88"/>
    </row>
    <row r="162" spans="2:14" ht="30" customHeight="1" x14ac:dyDescent="0.45">
      <c r="B162" s="87"/>
      <c r="C162" s="88"/>
      <c r="D162" s="89"/>
      <c r="E162" s="88" t="s">
        <v>334</v>
      </c>
      <c r="F162" s="88" t="s">
        <v>391</v>
      </c>
      <c r="G162" s="65" t="str">
        <f t="shared" ref="G162" si="135">"1TS"&amp;B153&amp;"/"&amp;LEFT(E162,1)&amp;"U"</f>
        <v>1TS5/4U</v>
      </c>
      <c r="H162" s="65" t="str">
        <f t="shared" si="116"/>
        <v>1TS5/4U-*-*/1TS5/4U-R2</v>
      </c>
      <c r="I162" s="65" t="s">
        <v>33</v>
      </c>
      <c r="J162" s="65" t="s">
        <v>33</v>
      </c>
      <c r="K162" s="65" t="str">
        <f t="shared" si="117"/>
        <v>1TS5/4U-R2/*-*-1TS5/4U</v>
      </c>
      <c r="L162" s="64" t="str">
        <f t="shared" ref="L162" si="136">G162&amp;"-"&amp;RIGHT(M162,2)</f>
        <v>1TS5/4U-R2</v>
      </c>
      <c r="M162" s="91" t="str">
        <f t="shared" ref="M162" si="137">"RTD-0"&amp;B153&amp;" VTP-0"&amp;B153&amp;" Winding Temperature R2"</f>
        <v>RTD-05 VTP-05 Winding Temperature R2</v>
      </c>
      <c r="N162" s="88"/>
    </row>
    <row r="163" spans="2:14" ht="30" customHeight="1" x14ac:dyDescent="0.45">
      <c r="B163" s="87"/>
      <c r="C163" s="88"/>
      <c r="D163" s="89"/>
      <c r="E163" s="88"/>
      <c r="F163" s="88"/>
      <c r="G163" s="65" t="str">
        <f t="shared" ref="G163" si="138">"1TS"&amp;B153&amp;"/"&amp;LEFT(E162,1)&amp;"M"</f>
        <v>1TS5/4M</v>
      </c>
      <c r="H163" s="65" t="str">
        <f t="shared" si="116"/>
        <v>1TS5/4M-*-*/1TS5/4M-R2</v>
      </c>
      <c r="I163" s="65" t="s">
        <v>33</v>
      </c>
      <c r="J163" s="65" t="s">
        <v>33</v>
      </c>
      <c r="K163" s="65" t="str">
        <f t="shared" si="117"/>
        <v>1TS5/4M-R2/*-*-1TS5/4M</v>
      </c>
      <c r="L163" s="64" t="str">
        <f t="shared" ref="L163" si="139">G163&amp;"-"&amp;RIGHT(M162,2)</f>
        <v>1TS5/4M-R2</v>
      </c>
      <c r="M163" s="91"/>
      <c r="N163" s="88"/>
    </row>
    <row r="164" spans="2:14" ht="30" customHeight="1" x14ac:dyDescent="0.45">
      <c r="B164" s="87"/>
      <c r="C164" s="88"/>
      <c r="D164" s="89"/>
      <c r="E164" s="88"/>
      <c r="F164" s="88"/>
      <c r="G164" s="65" t="str">
        <f t="shared" ref="G164" si="140">"1TS"&amp;B153&amp;"/"&amp;LEFT(E162,1)&amp;"L"</f>
        <v>1TS5/4L</v>
      </c>
      <c r="H164" s="65" t="str">
        <f t="shared" si="116"/>
        <v>1TS5/4L-*-*/1TS5/4L-R2</v>
      </c>
      <c r="I164" s="65" t="s">
        <v>33</v>
      </c>
      <c r="J164" s="65" t="s">
        <v>33</v>
      </c>
      <c r="K164" s="65" t="str">
        <f t="shared" si="117"/>
        <v>1TS5/4L-R2/*-*-1TS5/4L</v>
      </c>
      <c r="L164" s="64" t="str">
        <f t="shared" ref="L164" si="141">G164&amp;"-"&amp;RIGHT(M162,2)</f>
        <v>1TS5/4L-R2</v>
      </c>
      <c r="M164" s="91"/>
      <c r="N164" s="88"/>
    </row>
    <row r="165" spans="2:14" ht="30" customHeight="1" x14ac:dyDescent="0.45">
      <c r="B165" s="87"/>
      <c r="C165" s="88"/>
      <c r="D165" s="89"/>
      <c r="E165" s="88" t="s">
        <v>335</v>
      </c>
      <c r="F165" s="88" t="s">
        <v>392</v>
      </c>
      <c r="G165" s="65" t="str">
        <f t="shared" ref="G165" si="142">"1TS"&amp;B153&amp;"/"&amp;LEFT(E165,1)&amp;"U"</f>
        <v>1TS5/5U</v>
      </c>
      <c r="H165" s="65" t="str">
        <f t="shared" si="116"/>
        <v>1TS5/5U-*-*/1TS5/5U-Y2</v>
      </c>
      <c r="I165" s="65" t="s">
        <v>33</v>
      </c>
      <c r="J165" s="65" t="s">
        <v>33</v>
      </c>
      <c r="K165" s="65" t="str">
        <f t="shared" si="117"/>
        <v>1TS5/5U-Y2/*-*-1TS5/5U</v>
      </c>
      <c r="L165" s="64" t="str">
        <f t="shared" ref="L165" si="143">G165&amp;"-"&amp;RIGHT(M165,2)</f>
        <v>1TS5/5U-Y2</v>
      </c>
      <c r="M165" s="91" t="str">
        <f t="shared" ref="M165" si="144">"RTD-0"&amp;B153&amp;" VTP-0"&amp;B153&amp;" Winding Temperature Y2"</f>
        <v>RTD-05 VTP-05 Winding Temperature Y2</v>
      </c>
      <c r="N165" s="88"/>
    </row>
    <row r="166" spans="2:14" ht="30" customHeight="1" x14ac:dyDescent="0.45">
      <c r="B166" s="87"/>
      <c r="C166" s="88"/>
      <c r="D166" s="89"/>
      <c r="E166" s="88"/>
      <c r="F166" s="88"/>
      <c r="G166" s="65" t="str">
        <f t="shared" ref="G166" si="145">"1TS"&amp;B153&amp;"/"&amp;LEFT(E165,1)&amp;"M"</f>
        <v>1TS5/5M</v>
      </c>
      <c r="H166" s="65" t="str">
        <f t="shared" si="116"/>
        <v>1TS5/5M-*-*/1TS5/5M-Y2</v>
      </c>
      <c r="I166" s="65" t="s">
        <v>33</v>
      </c>
      <c r="J166" s="65" t="s">
        <v>33</v>
      </c>
      <c r="K166" s="65" t="str">
        <f t="shared" si="117"/>
        <v>1TS5/5M-Y2/*-*-1TS5/5M</v>
      </c>
      <c r="L166" s="64" t="str">
        <f t="shared" ref="L166" si="146">G166&amp;"-"&amp;RIGHT(M165,2)</f>
        <v>1TS5/5M-Y2</v>
      </c>
      <c r="M166" s="91"/>
      <c r="N166" s="88"/>
    </row>
    <row r="167" spans="2:14" ht="30" customHeight="1" x14ac:dyDescent="0.45">
      <c r="B167" s="87"/>
      <c r="C167" s="88"/>
      <c r="D167" s="89"/>
      <c r="E167" s="88"/>
      <c r="F167" s="88"/>
      <c r="G167" s="65" t="str">
        <f t="shared" ref="G167" si="147">"1TS"&amp;B153&amp;"/"&amp;LEFT(E165,1)&amp;"L"</f>
        <v>1TS5/5L</v>
      </c>
      <c r="H167" s="65" t="str">
        <f t="shared" si="116"/>
        <v>1TS5/5L-*-*/1TS5/5L-Y2</v>
      </c>
      <c r="I167" s="65" t="s">
        <v>33</v>
      </c>
      <c r="J167" s="65" t="s">
        <v>33</v>
      </c>
      <c r="K167" s="65" t="str">
        <f t="shared" si="117"/>
        <v>1TS5/5L-Y2/*-*-1TS5/5L</v>
      </c>
      <c r="L167" s="64" t="str">
        <f t="shared" ref="L167" si="148">G167&amp;"-"&amp;RIGHT(M165,2)</f>
        <v>1TS5/5L-Y2</v>
      </c>
      <c r="M167" s="91"/>
      <c r="N167" s="88"/>
    </row>
    <row r="168" spans="2:14" ht="30" customHeight="1" x14ac:dyDescent="0.45">
      <c r="B168" s="87"/>
      <c r="C168" s="88"/>
      <c r="D168" s="89"/>
      <c r="E168" s="88" t="s">
        <v>336</v>
      </c>
      <c r="F168" s="88" t="s">
        <v>393</v>
      </c>
      <c r="G168" s="65" t="str">
        <f t="shared" ref="G168" si="149">"1TS"&amp;B153&amp;"/"&amp;LEFT(E168,1)&amp;"U"</f>
        <v>1TS5/6U</v>
      </c>
      <c r="H168" s="65" t="str">
        <f t="shared" si="116"/>
        <v>1TS5/6U-*-*/1TS5/6U-B2</v>
      </c>
      <c r="I168" s="65" t="s">
        <v>33</v>
      </c>
      <c r="J168" s="65" t="s">
        <v>33</v>
      </c>
      <c r="K168" s="65" t="str">
        <f t="shared" si="117"/>
        <v>1TS5/6U-B2/*-*-1TS5/6U</v>
      </c>
      <c r="L168" s="64" t="str">
        <f t="shared" ref="L168" si="150">G168&amp;"-"&amp;RIGHT(M168,2)</f>
        <v>1TS5/6U-B2</v>
      </c>
      <c r="M168" s="91" t="str">
        <f t="shared" ref="M168" si="151">"RTD-0"&amp;B153&amp;" VTP-0"&amp;B153&amp;" Winding Temperature B2"</f>
        <v>RTD-05 VTP-05 Winding Temperature B2</v>
      </c>
      <c r="N168" s="88"/>
    </row>
    <row r="169" spans="2:14" ht="30" customHeight="1" x14ac:dyDescent="0.45">
      <c r="B169" s="87"/>
      <c r="C169" s="88"/>
      <c r="D169" s="89"/>
      <c r="E169" s="88"/>
      <c r="F169" s="88"/>
      <c r="G169" s="65" t="str">
        <f t="shared" ref="G169" si="152">"1TS"&amp;B153&amp;"/"&amp;LEFT(E168,1)&amp;"M"</f>
        <v>1TS5/6M</v>
      </c>
      <c r="H169" s="65" t="str">
        <f t="shared" si="116"/>
        <v>1TS5/6M-*-*/1TS5/6M-B2</v>
      </c>
      <c r="I169" s="65" t="s">
        <v>33</v>
      </c>
      <c r="J169" s="65" t="s">
        <v>33</v>
      </c>
      <c r="K169" s="65" t="str">
        <f t="shared" si="117"/>
        <v>1TS5/6M-B2/*-*-1TS5/6M</v>
      </c>
      <c r="L169" s="64" t="str">
        <f t="shared" ref="L169" si="153">G169&amp;"-"&amp;RIGHT(M168,2)</f>
        <v>1TS5/6M-B2</v>
      </c>
      <c r="M169" s="91"/>
      <c r="N169" s="88"/>
    </row>
    <row r="170" spans="2:14" ht="30" customHeight="1" x14ac:dyDescent="0.45">
      <c r="B170" s="87"/>
      <c r="C170" s="88"/>
      <c r="D170" s="89"/>
      <c r="E170" s="88"/>
      <c r="F170" s="88"/>
      <c r="G170" s="65" t="str">
        <f t="shared" ref="G170" si="154">"1TS"&amp;B153&amp;"/"&amp;LEFT(E168,1)&amp;"L"</f>
        <v>1TS5/6L</v>
      </c>
      <c r="H170" s="65" t="str">
        <f t="shared" si="116"/>
        <v>1TS5/6L-*-*/1TS5/6L-B2</v>
      </c>
      <c r="I170" s="65" t="s">
        <v>33</v>
      </c>
      <c r="J170" s="65" t="s">
        <v>33</v>
      </c>
      <c r="K170" s="65" t="str">
        <f t="shared" si="117"/>
        <v>1TS5/6L-B2/*-*-1TS5/6L</v>
      </c>
      <c r="L170" s="64" t="str">
        <f t="shared" ref="L170" si="155">G170&amp;"-"&amp;RIGHT(M168,2)</f>
        <v>1TS5/6L-B2</v>
      </c>
      <c r="M170" s="91"/>
      <c r="N170" s="88"/>
    </row>
    <row r="171" spans="2:14" ht="30" customHeight="1" x14ac:dyDescent="0.45">
      <c r="B171" s="87"/>
      <c r="C171" s="88"/>
      <c r="D171" s="89"/>
      <c r="E171" s="88" t="s">
        <v>337</v>
      </c>
      <c r="F171" s="88" t="s">
        <v>394</v>
      </c>
      <c r="G171" s="65" t="str">
        <f t="shared" ref="G171" si="156">"1TS"&amp;B153&amp;"/"&amp;LEFT(E171,1)&amp;"U"</f>
        <v>1TS5/7U</v>
      </c>
      <c r="H171" s="65" t="str">
        <f t="shared" si="116"/>
        <v>1TS5/7U-*-*/1TS5/7U-NDE</v>
      </c>
      <c r="I171" s="65" t="s">
        <v>33</v>
      </c>
      <c r="J171" s="65" t="s">
        <v>33</v>
      </c>
      <c r="K171" s="65" t="str">
        <f t="shared" si="117"/>
        <v>1TS5/7U-NDE/*-*-1TS5/7U</v>
      </c>
      <c r="L171" s="64" t="str">
        <f t="shared" ref="L171:L173" si="157">G171&amp;"-"&amp;"NDE"</f>
        <v>1TS5/7U-NDE</v>
      </c>
      <c r="M171" s="91" t="str">
        <f t="shared" ref="M171" si="158">"RTD-0"&amp;B153&amp;" VTP-0"&amp;B153&amp;" Bearing Temperature Non-Drive End"</f>
        <v>RTD-05 VTP-05 Bearing Temperature Non-Drive End</v>
      </c>
      <c r="N171" s="88"/>
    </row>
    <row r="172" spans="2:14" ht="30" customHeight="1" x14ac:dyDescent="0.45">
      <c r="B172" s="87"/>
      <c r="C172" s="88"/>
      <c r="D172" s="89"/>
      <c r="E172" s="88"/>
      <c r="F172" s="88"/>
      <c r="G172" s="65" t="str">
        <f t="shared" ref="G172" si="159">"1TS"&amp;B153&amp;"/"&amp;LEFT(E171,1)&amp;"M"</f>
        <v>1TS5/7M</v>
      </c>
      <c r="H172" s="65" t="str">
        <f t="shared" si="116"/>
        <v>1TS5/7M-*-*/1TS5/7M-NDE</v>
      </c>
      <c r="I172" s="65" t="s">
        <v>33</v>
      </c>
      <c r="J172" s="65" t="s">
        <v>33</v>
      </c>
      <c r="K172" s="65" t="str">
        <f t="shared" si="117"/>
        <v>1TS5/7M-NDE/*-*-1TS5/7M</v>
      </c>
      <c r="L172" s="64" t="str">
        <f t="shared" si="157"/>
        <v>1TS5/7M-NDE</v>
      </c>
      <c r="M172" s="91"/>
      <c r="N172" s="88"/>
    </row>
    <row r="173" spans="2:14" ht="30" customHeight="1" x14ac:dyDescent="0.45">
      <c r="B173" s="87"/>
      <c r="C173" s="88"/>
      <c r="D173" s="89"/>
      <c r="E173" s="88"/>
      <c r="F173" s="88"/>
      <c r="G173" s="65" t="str">
        <f t="shared" ref="G173" si="160">"1TS"&amp;B153&amp;"/"&amp;LEFT(E171,1)&amp;"L"</f>
        <v>1TS5/7L</v>
      </c>
      <c r="H173" s="65" t="str">
        <f t="shared" si="116"/>
        <v>1TS5/7L-*-*/1TS5/7L-NDE</v>
      </c>
      <c r="I173" s="65" t="s">
        <v>33</v>
      </c>
      <c r="J173" s="65" t="s">
        <v>33</v>
      </c>
      <c r="K173" s="65" t="str">
        <f t="shared" si="117"/>
        <v>1TS5/7L-NDE/*-*-1TS5/7L</v>
      </c>
      <c r="L173" s="64" t="str">
        <f t="shared" si="157"/>
        <v>1TS5/7L-NDE</v>
      </c>
      <c r="M173" s="91"/>
      <c r="N173" s="88"/>
    </row>
    <row r="174" spans="2:14" ht="30" customHeight="1" x14ac:dyDescent="0.45">
      <c r="B174" s="87"/>
      <c r="C174" s="88"/>
      <c r="D174" s="89"/>
      <c r="E174" s="88" t="s">
        <v>338</v>
      </c>
      <c r="F174" s="88" t="s">
        <v>395</v>
      </c>
      <c r="G174" s="65" t="str">
        <f t="shared" ref="G174" si="161">"1TS"&amp;B153&amp;"/"&amp;LEFT(E174,1)&amp;"U"</f>
        <v>1TS5/8U</v>
      </c>
      <c r="H174" s="65" t="str">
        <f t="shared" si="116"/>
        <v>1TS5/8U-*-*/1TS5/8U-DE</v>
      </c>
      <c r="I174" s="65" t="s">
        <v>33</v>
      </c>
      <c r="J174" s="65" t="s">
        <v>33</v>
      </c>
      <c r="K174" s="65" t="str">
        <f t="shared" si="117"/>
        <v>1TS5/8U-DE/*-*-1TS5/8U</v>
      </c>
      <c r="L174" s="64" t="str">
        <f t="shared" ref="L174:L176" si="162">G174&amp;"-"&amp;"DE"</f>
        <v>1TS5/8U-DE</v>
      </c>
      <c r="M174" s="91" t="str">
        <f t="shared" ref="M174" si="163">"RTD-0"&amp;B153&amp;" VTP-0"&amp;B153&amp;" Bearing Temperature Drive End"</f>
        <v>RTD-05 VTP-05 Bearing Temperature Drive End</v>
      </c>
      <c r="N174" s="88"/>
    </row>
    <row r="175" spans="2:14" ht="30" customHeight="1" x14ac:dyDescent="0.45">
      <c r="B175" s="87"/>
      <c r="C175" s="88"/>
      <c r="D175" s="89"/>
      <c r="E175" s="88"/>
      <c r="F175" s="88"/>
      <c r="G175" s="65" t="str">
        <f t="shared" ref="G175" si="164">"1TS"&amp;B153&amp;"/"&amp;LEFT(E174,1)&amp;"M"</f>
        <v>1TS5/8M</v>
      </c>
      <c r="H175" s="65" t="str">
        <f t="shared" si="116"/>
        <v>1TS5/8M-*-*/1TS5/8M-DE</v>
      </c>
      <c r="I175" s="65" t="s">
        <v>33</v>
      </c>
      <c r="J175" s="65" t="s">
        <v>33</v>
      </c>
      <c r="K175" s="65" t="str">
        <f t="shared" si="117"/>
        <v>1TS5/8M-DE/*-*-1TS5/8M</v>
      </c>
      <c r="L175" s="64" t="str">
        <f t="shared" si="162"/>
        <v>1TS5/8M-DE</v>
      </c>
      <c r="M175" s="91"/>
      <c r="N175" s="88"/>
    </row>
    <row r="176" spans="2:14" ht="30" customHeight="1" x14ac:dyDescent="0.45">
      <c r="B176" s="87"/>
      <c r="C176" s="88"/>
      <c r="D176" s="89"/>
      <c r="E176" s="88"/>
      <c r="F176" s="88"/>
      <c r="G176" s="65" t="str">
        <f t="shared" ref="G176" si="165">"1TS"&amp;B153&amp;"/"&amp;LEFT(E174,1)&amp;"L"</f>
        <v>1TS5/8L</v>
      </c>
      <c r="H176" s="65" t="str">
        <f t="shared" si="116"/>
        <v>1TS5/8L-*-*/1TS5/8L-DE</v>
      </c>
      <c r="I176" s="65" t="s">
        <v>33</v>
      </c>
      <c r="J176" s="65" t="s">
        <v>33</v>
      </c>
      <c r="K176" s="65" t="str">
        <f t="shared" si="117"/>
        <v>1TS5/8L-DE/*-*-1TS5/8L</v>
      </c>
      <c r="L176" s="64" t="str">
        <f t="shared" si="162"/>
        <v>1TS5/8L-DE</v>
      </c>
      <c r="M176" s="91"/>
      <c r="N176" s="88"/>
    </row>
    <row r="177" spans="2:14" ht="30" customHeight="1" x14ac:dyDescent="0.45">
      <c r="B177" s="87"/>
      <c r="C177" s="88"/>
      <c r="D177" s="89"/>
      <c r="E177" s="88" t="s">
        <v>339</v>
      </c>
      <c r="F177" s="88" t="s">
        <v>45</v>
      </c>
      <c r="G177" s="65" t="s">
        <v>45</v>
      </c>
      <c r="H177" s="65" t="s">
        <v>45</v>
      </c>
      <c r="I177" s="65" t="s">
        <v>45</v>
      </c>
      <c r="J177" s="65" t="s">
        <v>45</v>
      </c>
      <c r="K177" s="65" t="s">
        <v>45</v>
      </c>
      <c r="L177" s="69" t="s">
        <v>45</v>
      </c>
      <c r="M177" s="90" t="s">
        <v>34</v>
      </c>
      <c r="N177" s="88"/>
    </row>
    <row r="178" spans="2:14" ht="30" customHeight="1" x14ac:dyDescent="0.45">
      <c r="B178" s="87"/>
      <c r="C178" s="88"/>
      <c r="D178" s="89"/>
      <c r="E178" s="88"/>
      <c r="F178" s="88"/>
      <c r="G178" s="65" t="s">
        <v>45</v>
      </c>
      <c r="H178" s="65" t="s">
        <v>45</v>
      </c>
      <c r="I178" s="65" t="s">
        <v>45</v>
      </c>
      <c r="J178" s="65" t="s">
        <v>45</v>
      </c>
      <c r="K178" s="65" t="s">
        <v>45</v>
      </c>
      <c r="L178" s="69" t="s">
        <v>45</v>
      </c>
      <c r="M178" s="90"/>
      <c r="N178" s="88"/>
    </row>
    <row r="179" spans="2:14" ht="30" customHeight="1" x14ac:dyDescent="0.45">
      <c r="B179" s="87"/>
      <c r="C179" s="88"/>
      <c r="D179" s="89"/>
      <c r="E179" s="88"/>
      <c r="F179" s="88"/>
      <c r="G179" s="65" t="s">
        <v>45</v>
      </c>
      <c r="H179" s="65" t="s">
        <v>45</v>
      </c>
      <c r="I179" s="65" t="s">
        <v>45</v>
      </c>
      <c r="J179" s="65" t="s">
        <v>45</v>
      </c>
      <c r="K179" s="65" t="s">
        <v>45</v>
      </c>
      <c r="L179" s="69" t="s">
        <v>45</v>
      </c>
      <c r="M179" s="90"/>
      <c r="N179" s="88"/>
    </row>
    <row r="180" spans="2:14" ht="30" customHeight="1" x14ac:dyDescent="0.45">
      <c r="B180" s="87"/>
      <c r="C180" s="88"/>
      <c r="D180" s="89"/>
      <c r="E180" s="88" t="s">
        <v>340</v>
      </c>
      <c r="F180" s="88" t="s">
        <v>45</v>
      </c>
      <c r="G180" s="65" t="s">
        <v>45</v>
      </c>
      <c r="H180" s="65" t="s">
        <v>45</v>
      </c>
      <c r="I180" s="65" t="s">
        <v>45</v>
      </c>
      <c r="J180" s="65" t="s">
        <v>45</v>
      </c>
      <c r="K180" s="65" t="s">
        <v>45</v>
      </c>
      <c r="L180" s="69" t="s">
        <v>45</v>
      </c>
      <c r="M180" s="90" t="s">
        <v>34</v>
      </c>
      <c r="N180" s="88"/>
    </row>
    <row r="181" spans="2:14" ht="30" customHeight="1" x14ac:dyDescent="0.45">
      <c r="B181" s="87"/>
      <c r="C181" s="88"/>
      <c r="D181" s="89"/>
      <c r="E181" s="88"/>
      <c r="F181" s="88"/>
      <c r="G181" s="65" t="s">
        <v>45</v>
      </c>
      <c r="H181" s="65" t="s">
        <v>45</v>
      </c>
      <c r="I181" s="65" t="s">
        <v>45</v>
      </c>
      <c r="J181" s="65" t="s">
        <v>45</v>
      </c>
      <c r="K181" s="65" t="s">
        <v>45</v>
      </c>
      <c r="L181" s="69" t="s">
        <v>45</v>
      </c>
      <c r="M181" s="90"/>
      <c r="N181" s="88"/>
    </row>
    <row r="182" spans="2:14" ht="30" customHeight="1" x14ac:dyDescent="0.45">
      <c r="B182" s="87"/>
      <c r="C182" s="88"/>
      <c r="D182" s="89"/>
      <c r="E182" s="88"/>
      <c r="F182" s="88"/>
      <c r="G182" s="65" t="s">
        <v>45</v>
      </c>
      <c r="H182" s="65" t="s">
        <v>45</v>
      </c>
      <c r="I182" s="65" t="s">
        <v>45</v>
      </c>
      <c r="J182" s="65" t="s">
        <v>45</v>
      </c>
      <c r="K182" s="65" t="s">
        <v>45</v>
      </c>
      <c r="L182" s="69" t="s">
        <v>45</v>
      </c>
      <c r="M182" s="90"/>
      <c r="N182" s="88"/>
    </row>
    <row r="183" spans="2:14" ht="30" customHeight="1" x14ac:dyDescent="0.45">
      <c r="B183" s="87"/>
      <c r="C183" s="88"/>
      <c r="D183" s="89"/>
      <c r="E183" s="88" t="s">
        <v>341</v>
      </c>
      <c r="F183" s="88" t="s">
        <v>45</v>
      </c>
      <c r="G183" s="65" t="s">
        <v>45</v>
      </c>
      <c r="H183" s="65" t="s">
        <v>45</v>
      </c>
      <c r="I183" s="65" t="s">
        <v>45</v>
      </c>
      <c r="J183" s="65" t="s">
        <v>45</v>
      </c>
      <c r="K183" s="65" t="s">
        <v>45</v>
      </c>
      <c r="L183" s="69" t="s">
        <v>45</v>
      </c>
      <c r="M183" s="90" t="s">
        <v>34</v>
      </c>
      <c r="N183" s="88"/>
    </row>
    <row r="184" spans="2:14" ht="30" customHeight="1" x14ac:dyDescent="0.45">
      <c r="B184" s="87"/>
      <c r="C184" s="88"/>
      <c r="D184" s="89"/>
      <c r="E184" s="88"/>
      <c r="F184" s="88"/>
      <c r="G184" s="65" t="s">
        <v>45</v>
      </c>
      <c r="H184" s="65" t="s">
        <v>45</v>
      </c>
      <c r="I184" s="65" t="s">
        <v>45</v>
      </c>
      <c r="J184" s="65" t="s">
        <v>45</v>
      </c>
      <c r="K184" s="65" t="s">
        <v>45</v>
      </c>
      <c r="L184" s="69" t="s">
        <v>45</v>
      </c>
      <c r="M184" s="90"/>
      <c r="N184" s="88"/>
    </row>
    <row r="185" spans="2:14" ht="30" customHeight="1" x14ac:dyDescent="0.45">
      <c r="B185" s="87"/>
      <c r="C185" s="88"/>
      <c r="D185" s="89"/>
      <c r="E185" s="88"/>
      <c r="F185" s="88"/>
      <c r="G185" s="65" t="s">
        <v>45</v>
      </c>
      <c r="H185" s="65" t="s">
        <v>45</v>
      </c>
      <c r="I185" s="65" t="s">
        <v>45</v>
      </c>
      <c r="J185" s="65" t="s">
        <v>45</v>
      </c>
      <c r="K185" s="65" t="s">
        <v>45</v>
      </c>
      <c r="L185" s="69" t="s">
        <v>45</v>
      </c>
      <c r="M185" s="90"/>
      <c r="N185" s="88"/>
    </row>
    <row r="186" spans="2:14" ht="30" customHeight="1" x14ac:dyDescent="0.45">
      <c r="B186" s="87"/>
      <c r="C186" s="88"/>
      <c r="D186" s="89"/>
      <c r="E186" s="88" t="s">
        <v>342</v>
      </c>
      <c r="F186" s="88" t="s">
        <v>45</v>
      </c>
      <c r="G186" s="65" t="s">
        <v>45</v>
      </c>
      <c r="H186" s="65" t="s">
        <v>45</v>
      </c>
      <c r="I186" s="65" t="s">
        <v>45</v>
      </c>
      <c r="J186" s="65" t="s">
        <v>45</v>
      </c>
      <c r="K186" s="65" t="s">
        <v>45</v>
      </c>
      <c r="L186" s="69" t="s">
        <v>45</v>
      </c>
      <c r="M186" s="90" t="s">
        <v>34</v>
      </c>
      <c r="N186" s="88"/>
    </row>
    <row r="187" spans="2:14" ht="30" customHeight="1" x14ac:dyDescent="0.45">
      <c r="B187" s="87"/>
      <c r="C187" s="88"/>
      <c r="D187" s="89"/>
      <c r="E187" s="88"/>
      <c r="F187" s="88"/>
      <c r="G187" s="65" t="s">
        <v>45</v>
      </c>
      <c r="H187" s="65" t="s">
        <v>45</v>
      </c>
      <c r="I187" s="65" t="s">
        <v>45</v>
      </c>
      <c r="J187" s="65" t="s">
        <v>45</v>
      </c>
      <c r="K187" s="65" t="s">
        <v>45</v>
      </c>
      <c r="L187" s="69" t="s">
        <v>45</v>
      </c>
      <c r="M187" s="90"/>
      <c r="N187" s="88"/>
    </row>
    <row r="188" spans="2:14" ht="30" customHeight="1" x14ac:dyDescent="0.45">
      <c r="B188" s="87"/>
      <c r="C188" s="88"/>
      <c r="D188" s="89"/>
      <c r="E188" s="88"/>
      <c r="F188" s="88"/>
      <c r="G188" s="65" t="s">
        <v>45</v>
      </c>
      <c r="H188" s="65" t="s">
        <v>45</v>
      </c>
      <c r="I188" s="65" t="s">
        <v>45</v>
      </c>
      <c r="J188" s="65" t="s">
        <v>45</v>
      </c>
      <c r="K188" s="65" t="s">
        <v>45</v>
      </c>
      <c r="L188" s="69" t="s">
        <v>45</v>
      </c>
      <c r="M188" s="90"/>
      <c r="N188" s="88"/>
    </row>
    <row r="189" spans="2:14" ht="30" customHeight="1" x14ac:dyDescent="0.45">
      <c r="B189" s="87">
        <f t="shared" ref="B189" si="166">B153+1</f>
        <v>6</v>
      </c>
      <c r="C189" s="88" t="str">
        <f t="shared" ref="C189" si="167">"TS-0"&amp;B189</f>
        <v>TS-06</v>
      </c>
      <c r="D189" s="89" t="s">
        <v>379</v>
      </c>
      <c r="E189" s="88" t="s">
        <v>331</v>
      </c>
      <c r="F189" s="88" t="s">
        <v>388</v>
      </c>
      <c r="G189" s="65" t="str">
        <f t="shared" ref="G189" si="168">"1TS"&amp;B189&amp;"/"&amp;LEFT(E189,1)&amp;"U"</f>
        <v>1TS6/1U</v>
      </c>
      <c r="H189" s="65" t="str">
        <f>_xlfn.CONCAT(G189,"-",J189,"-",I189,"/",L189)</f>
        <v>1TS6/1U-*-*/1TS6/1U-R1</v>
      </c>
      <c r="I189" s="65" t="s">
        <v>33</v>
      </c>
      <c r="J189" s="65" t="s">
        <v>33</v>
      </c>
      <c r="K189" s="65" t="str">
        <f>_xlfn.CONCAT(L189,"/",J189,"-",I189,"-",G189)</f>
        <v>1TS6/1U-R1/*-*-1TS6/1U</v>
      </c>
      <c r="L189" s="64" t="str">
        <f t="shared" ref="L189" si="169">G189&amp;"-"&amp;RIGHT(M189,2)</f>
        <v>1TS6/1U-R1</v>
      </c>
      <c r="M189" s="91" t="str">
        <f t="shared" ref="M189" si="170">"RTD-0"&amp;B189&amp;" VTP-0"&amp;B189&amp;" Winding Temperature R1"</f>
        <v>RTD-06 VTP-06 Winding Temperature R1</v>
      </c>
      <c r="N189" s="88"/>
    </row>
    <row r="190" spans="2:14" ht="30" customHeight="1" x14ac:dyDescent="0.45">
      <c r="B190" s="87"/>
      <c r="C190" s="88"/>
      <c r="D190" s="89"/>
      <c r="E190" s="88"/>
      <c r="F190" s="88"/>
      <c r="G190" s="65" t="str">
        <f t="shared" ref="G190" si="171">"1TS"&amp;B189&amp;"/"&amp;LEFT(E189,1)&amp;"M"</f>
        <v>1TS6/1M</v>
      </c>
      <c r="H190" s="65" t="str">
        <f t="shared" ref="H190:H212" si="172">_xlfn.CONCAT(G190,"-",J190,"-",I190,"/",L190)</f>
        <v>1TS6/1M-*-*/1TS6/1M-R1</v>
      </c>
      <c r="I190" s="65" t="s">
        <v>33</v>
      </c>
      <c r="J190" s="65" t="s">
        <v>33</v>
      </c>
      <c r="K190" s="65" t="str">
        <f t="shared" ref="K190:K212" si="173">_xlfn.CONCAT(L190,"/",J190,"-",I190,"-",G190)</f>
        <v>1TS6/1M-R1/*-*-1TS6/1M</v>
      </c>
      <c r="L190" s="64" t="str">
        <f t="shared" ref="L190" si="174">G190&amp;"-"&amp;RIGHT(M189,2)</f>
        <v>1TS6/1M-R1</v>
      </c>
      <c r="M190" s="91"/>
      <c r="N190" s="88"/>
    </row>
    <row r="191" spans="2:14" ht="30" customHeight="1" x14ac:dyDescent="0.45">
      <c r="B191" s="87"/>
      <c r="C191" s="88"/>
      <c r="D191" s="89"/>
      <c r="E191" s="88"/>
      <c r="F191" s="88"/>
      <c r="G191" s="65" t="str">
        <f t="shared" ref="G191" si="175">"1TS"&amp;B189&amp;"/"&amp;LEFT(E189,1)&amp;"L"</f>
        <v>1TS6/1L</v>
      </c>
      <c r="H191" s="65" t="str">
        <f t="shared" si="172"/>
        <v>1TS6/1L-*-*/1TS6/1L-R1</v>
      </c>
      <c r="I191" s="65" t="s">
        <v>33</v>
      </c>
      <c r="J191" s="65" t="s">
        <v>33</v>
      </c>
      <c r="K191" s="65" t="str">
        <f t="shared" si="173"/>
        <v>1TS6/1L-R1/*-*-1TS6/1L</v>
      </c>
      <c r="L191" s="64" t="str">
        <f t="shared" ref="L191" si="176">G191&amp;"-"&amp;RIGHT(M189,2)</f>
        <v>1TS6/1L-R1</v>
      </c>
      <c r="M191" s="91"/>
      <c r="N191" s="88"/>
    </row>
    <row r="192" spans="2:14" ht="30" customHeight="1" x14ac:dyDescent="0.45">
      <c r="B192" s="87"/>
      <c r="C192" s="88"/>
      <c r="D192" s="89"/>
      <c r="E192" s="88" t="s">
        <v>332</v>
      </c>
      <c r="F192" s="88" t="s">
        <v>389</v>
      </c>
      <c r="G192" s="65" t="str">
        <f t="shared" ref="G192" si="177">"1TS"&amp;B189&amp;"/"&amp;LEFT(E192,1)&amp;"U"</f>
        <v>1TS6/2U</v>
      </c>
      <c r="H192" s="65" t="str">
        <f t="shared" si="172"/>
        <v>1TS6/2U-*-*/1TS6/2U-Y1</v>
      </c>
      <c r="I192" s="65" t="s">
        <v>33</v>
      </c>
      <c r="J192" s="65" t="s">
        <v>33</v>
      </c>
      <c r="K192" s="65" t="str">
        <f t="shared" si="173"/>
        <v>1TS6/2U-Y1/*-*-1TS6/2U</v>
      </c>
      <c r="L192" s="64" t="str">
        <f t="shared" ref="L192" si="178">G192&amp;"-"&amp;RIGHT(M192,2)</f>
        <v>1TS6/2U-Y1</v>
      </c>
      <c r="M192" s="91" t="str">
        <f t="shared" ref="M192" si="179">"RTD-0"&amp;B189&amp;" VTP-0"&amp;B189&amp;" Winding Temperature Y1"</f>
        <v>RTD-06 VTP-06 Winding Temperature Y1</v>
      </c>
      <c r="N192" s="88"/>
    </row>
    <row r="193" spans="2:14" ht="30" customHeight="1" x14ac:dyDescent="0.45">
      <c r="B193" s="87"/>
      <c r="C193" s="88"/>
      <c r="D193" s="89"/>
      <c r="E193" s="88"/>
      <c r="F193" s="88"/>
      <c r="G193" s="65" t="str">
        <f t="shared" ref="G193" si="180">"1TS"&amp;B189&amp;"/"&amp;LEFT(E192,1)&amp;"M"</f>
        <v>1TS6/2M</v>
      </c>
      <c r="H193" s="65" t="str">
        <f t="shared" si="172"/>
        <v>1TS6/2M-*-*/1TS6/2M-Y1</v>
      </c>
      <c r="I193" s="65" t="s">
        <v>33</v>
      </c>
      <c r="J193" s="65" t="s">
        <v>33</v>
      </c>
      <c r="K193" s="65" t="str">
        <f t="shared" si="173"/>
        <v>1TS6/2M-Y1/*-*-1TS6/2M</v>
      </c>
      <c r="L193" s="64" t="str">
        <f t="shared" ref="L193" si="181">G193&amp;"-"&amp;RIGHT(M192,2)</f>
        <v>1TS6/2M-Y1</v>
      </c>
      <c r="M193" s="91"/>
      <c r="N193" s="88"/>
    </row>
    <row r="194" spans="2:14" ht="30" customHeight="1" x14ac:dyDescent="0.45">
      <c r="B194" s="87"/>
      <c r="C194" s="88"/>
      <c r="D194" s="89"/>
      <c r="E194" s="88"/>
      <c r="F194" s="88"/>
      <c r="G194" s="65" t="str">
        <f t="shared" ref="G194" si="182">"1TS"&amp;B189&amp;"/"&amp;LEFT(E192,1)&amp;"L"</f>
        <v>1TS6/2L</v>
      </c>
      <c r="H194" s="65" t="str">
        <f t="shared" si="172"/>
        <v>1TS6/2L-*-*/1TS6/2L-Y1</v>
      </c>
      <c r="I194" s="65" t="s">
        <v>33</v>
      </c>
      <c r="J194" s="65" t="s">
        <v>33</v>
      </c>
      <c r="K194" s="65" t="str">
        <f t="shared" si="173"/>
        <v>1TS6/2L-Y1/*-*-1TS6/2L</v>
      </c>
      <c r="L194" s="64" t="str">
        <f t="shared" ref="L194" si="183">G194&amp;"-"&amp;RIGHT(M192,2)</f>
        <v>1TS6/2L-Y1</v>
      </c>
      <c r="M194" s="91"/>
      <c r="N194" s="88"/>
    </row>
    <row r="195" spans="2:14" ht="30" customHeight="1" x14ac:dyDescent="0.45">
      <c r="B195" s="87"/>
      <c r="C195" s="88"/>
      <c r="D195" s="89"/>
      <c r="E195" s="88" t="s">
        <v>333</v>
      </c>
      <c r="F195" s="88" t="s">
        <v>390</v>
      </c>
      <c r="G195" s="65" t="str">
        <f t="shared" ref="G195" si="184">"1TS"&amp;B189&amp;"/"&amp;LEFT(E195,1)&amp;"U"</f>
        <v>1TS6/3U</v>
      </c>
      <c r="H195" s="65" t="str">
        <f t="shared" si="172"/>
        <v>1TS6/3U-*-*/1TS6/3U-B1</v>
      </c>
      <c r="I195" s="65" t="s">
        <v>33</v>
      </c>
      <c r="J195" s="65" t="s">
        <v>33</v>
      </c>
      <c r="K195" s="65" t="str">
        <f t="shared" si="173"/>
        <v>1TS6/3U-B1/*-*-1TS6/3U</v>
      </c>
      <c r="L195" s="64" t="str">
        <f t="shared" ref="L195" si="185">G195&amp;"-"&amp;RIGHT(M195,2)</f>
        <v>1TS6/3U-B1</v>
      </c>
      <c r="M195" s="91" t="str">
        <f t="shared" ref="M195" si="186">"RTD-0"&amp;B189&amp;" VTP-0"&amp;B189&amp;" Winding Temperature B1"</f>
        <v>RTD-06 VTP-06 Winding Temperature B1</v>
      </c>
      <c r="N195" s="88"/>
    </row>
    <row r="196" spans="2:14" ht="30" customHeight="1" x14ac:dyDescent="0.45">
      <c r="B196" s="87"/>
      <c r="C196" s="88"/>
      <c r="D196" s="89"/>
      <c r="E196" s="88"/>
      <c r="F196" s="88"/>
      <c r="G196" s="65" t="str">
        <f t="shared" ref="G196" si="187">"1TS"&amp;B189&amp;"/"&amp;LEFT(E195,1)&amp;"M"</f>
        <v>1TS6/3M</v>
      </c>
      <c r="H196" s="65" t="str">
        <f t="shared" si="172"/>
        <v>1TS6/3M-*-*/1TS6/3M-B1</v>
      </c>
      <c r="I196" s="65" t="s">
        <v>33</v>
      </c>
      <c r="J196" s="65" t="s">
        <v>33</v>
      </c>
      <c r="K196" s="65" t="str">
        <f t="shared" si="173"/>
        <v>1TS6/3M-B1/*-*-1TS6/3M</v>
      </c>
      <c r="L196" s="64" t="str">
        <f t="shared" ref="L196" si="188">G196&amp;"-"&amp;RIGHT(M195,2)</f>
        <v>1TS6/3M-B1</v>
      </c>
      <c r="M196" s="91"/>
      <c r="N196" s="88"/>
    </row>
    <row r="197" spans="2:14" ht="30" customHeight="1" x14ac:dyDescent="0.45">
      <c r="B197" s="87"/>
      <c r="C197" s="88"/>
      <c r="D197" s="89"/>
      <c r="E197" s="88"/>
      <c r="F197" s="88"/>
      <c r="G197" s="65" t="str">
        <f t="shared" ref="G197" si="189">"1TS"&amp;B189&amp;"/"&amp;LEFT(E195,1)&amp;"L"</f>
        <v>1TS6/3L</v>
      </c>
      <c r="H197" s="65" t="str">
        <f t="shared" si="172"/>
        <v>1TS6/3L-*-*/1TS6/3L-B1</v>
      </c>
      <c r="I197" s="65" t="s">
        <v>33</v>
      </c>
      <c r="J197" s="65" t="s">
        <v>33</v>
      </c>
      <c r="K197" s="65" t="str">
        <f t="shared" si="173"/>
        <v>1TS6/3L-B1/*-*-1TS6/3L</v>
      </c>
      <c r="L197" s="64" t="str">
        <f t="shared" ref="L197" si="190">G197&amp;"-"&amp;RIGHT(M195,2)</f>
        <v>1TS6/3L-B1</v>
      </c>
      <c r="M197" s="91"/>
      <c r="N197" s="88"/>
    </row>
    <row r="198" spans="2:14" ht="30" customHeight="1" x14ac:dyDescent="0.45">
      <c r="B198" s="87"/>
      <c r="C198" s="88"/>
      <c r="D198" s="89"/>
      <c r="E198" s="88" t="s">
        <v>334</v>
      </c>
      <c r="F198" s="88" t="s">
        <v>391</v>
      </c>
      <c r="G198" s="65" t="str">
        <f t="shared" ref="G198" si="191">"1TS"&amp;B189&amp;"/"&amp;LEFT(E198,1)&amp;"U"</f>
        <v>1TS6/4U</v>
      </c>
      <c r="H198" s="65" t="str">
        <f t="shared" si="172"/>
        <v>1TS6/4U-*-*/1TS6/4U-R2</v>
      </c>
      <c r="I198" s="65" t="s">
        <v>33</v>
      </c>
      <c r="J198" s="65" t="s">
        <v>33</v>
      </c>
      <c r="K198" s="65" t="str">
        <f t="shared" si="173"/>
        <v>1TS6/4U-R2/*-*-1TS6/4U</v>
      </c>
      <c r="L198" s="64" t="str">
        <f t="shared" ref="L198" si="192">G198&amp;"-"&amp;RIGHT(M198,2)</f>
        <v>1TS6/4U-R2</v>
      </c>
      <c r="M198" s="91" t="str">
        <f t="shared" ref="M198" si="193">"RTD-0"&amp;B189&amp;" VTP-0"&amp;B189&amp;" Winding Temperature R2"</f>
        <v>RTD-06 VTP-06 Winding Temperature R2</v>
      </c>
      <c r="N198" s="88"/>
    </row>
    <row r="199" spans="2:14" ht="30" customHeight="1" x14ac:dyDescent="0.45">
      <c r="B199" s="87"/>
      <c r="C199" s="88"/>
      <c r="D199" s="89"/>
      <c r="E199" s="88"/>
      <c r="F199" s="88"/>
      <c r="G199" s="65" t="str">
        <f t="shared" ref="G199" si="194">"1TS"&amp;B189&amp;"/"&amp;LEFT(E198,1)&amp;"M"</f>
        <v>1TS6/4M</v>
      </c>
      <c r="H199" s="65" t="str">
        <f t="shared" si="172"/>
        <v>1TS6/4M-*-*/1TS6/4M-R2</v>
      </c>
      <c r="I199" s="65" t="s">
        <v>33</v>
      </c>
      <c r="J199" s="65" t="s">
        <v>33</v>
      </c>
      <c r="K199" s="65" t="str">
        <f t="shared" si="173"/>
        <v>1TS6/4M-R2/*-*-1TS6/4M</v>
      </c>
      <c r="L199" s="64" t="str">
        <f t="shared" ref="L199" si="195">G199&amp;"-"&amp;RIGHT(M198,2)</f>
        <v>1TS6/4M-R2</v>
      </c>
      <c r="M199" s="91"/>
      <c r="N199" s="88"/>
    </row>
    <row r="200" spans="2:14" ht="30" customHeight="1" x14ac:dyDescent="0.45">
      <c r="B200" s="87"/>
      <c r="C200" s="88"/>
      <c r="D200" s="89"/>
      <c r="E200" s="88"/>
      <c r="F200" s="88"/>
      <c r="G200" s="65" t="str">
        <f t="shared" ref="G200" si="196">"1TS"&amp;B189&amp;"/"&amp;LEFT(E198,1)&amp;"L"</f>
        <v>1TS6/4L</v>
      </c>
      <c r="H200" s="65" t="str">
        <f t="shared" si="172"/>
        <v>1TS6/4L-*-*/1TS6/4L-R2</v>
      </c>
      <c r="I200" s="65" t="s">
        <v>33</v>
      </c>
      <c r="J200" s="65" t="s">
        <v>33</v>
      </c>
      <c r="K200" s="65" t="str">
        <f t="shared" si="173"/>
        <v>1TS6/4L-R2/*-*-1TS6/4L</v>
      </c>
      <c r="L200" s="64" t="str">
        <f t="shared" ref="L200" si="197">G200&amp;"-"&amp;RIGHT(M198,2)</f>
        <v>1TS6/4L-R2</v>
      </c>
      <c r="M200" s="91"/>
      <c r="N200" s="88"/>
    </row>
    <row r="201" spans="2:14" ht="30" customHeight="1" x14ac:dyDescent="0.45">
      <c r="B201" s="87"/>
      <c r="C201" s="88"/>
      <c r="D201" s="89"/>
      <c r="E201" s="88" t="s">
        <v>335</v>
      </c>
      <c r="F201" s="88" t="s">
        <v>392</v>
      </c>
      <c r="G201" s="65" t="str">
        <f t="shared" ref="G201" si="198">"1TS"&amp;B189&amp;"/"&amp;LEFT(E201,1)&amp;"U"</f>
        <v>1TS6/5U</v>
      </c>
      <c r="H201" s="65" t="str">
        <f t="shared" si="172"/>
        <v>1TS6/5U-*-*/1TS6/5U-Y2</v>
      </c>
      <c r="I201" s="65" t="s">
        <v>33</v>
      </c>
      <c r="J201" s="65" t="s">
        <v>33</v>
      </c>
      <c r="K201" s="65" t="str">
        <f t="shared" si="173"/>
        <v>1TS6/5U-Y2/*-*-1TS6/5U</v>
      </c>
      <c r="L201" s="64" t="str">
        <f t="shared" ref="L201" si="199">G201&amp;"-"&amp;RIGHT(M201,2)</f>
        <v>1TS6/5U-Y2</v>
      </c>
      <c r="M201" s="91" t="str">
        <f t="shared" ref="M201" si="200">"RTD-0"&amp;B189&amp;" VTP-0"&amp;B189&amp;" Winding Temperature Y2"</f>
        <v>RTD-06 VTP-06 Winding Temperature Y2</v>
      </c>
      <c r="N201" s="88"/>
    </row>
    <row r="202" spans="2:14" ht="30" customHeight="1" x14ac:dyDescent="0.45">
      <c r="B202" s="87"/>
      <c r="C202" s="88"/>
      <c r="D202" s="89"/>
      <c r="E202" s="88"/>
      <c r="F202" s="88"/>
      <c r="G202" s="65" t="str">
        <f t="shared" ref="G202" si="201">"1TS"&amp;B189&amp;"/"&amp;LEFT(E201,1)&amp;"M"</f>
        <v>1TS6/5M</v>
      </c>
      <c r="H202" s="65" t="str">
        <f t="shared" si="172"/>
        <v>1TS6/5M-*-*/1TS6/5M-Y2</v>
      </c>
      <c r="I202" s="65" t="s">
        <v>33</v>
      </c>
      <c r="J202" s="65" t="s">
        <v>33</v>
      </c>
      <c r="K202" s="65" t="str">
        <f t="shared" si="173"/>
        <v>1TS6/5M-Y2/*-*-1TS6/5M</v>
      </c>
      <c r="L202" s="64" t="str">
        <f t="shared" ref="L202" si="202">G202&amp;"-"&amp;RIGHT(M201,2)</f>
        <v>1TS6/5M-Y2</v>
      </c>
      <c r="M202" s="91"/>
      <c r="N202" s="88"/>
    </row>
    <row r="203" spans="2:14" ht="30" customHeight="1" x14ac:dyDescent="0.45">
      <c r="B203" s="87"/>
      <c r="C203" s="88"/>
      <c r="D203" s="89"/>
      <c r="E203" s="88"/>
      <c r="F203" s="88"/>
      <c r="G203" s="65" t="str">
        <f t="shared" ref="G203" si="203">"1TS"&amp;B189&amp;"/"&amp;LEFT(E201,1)&amp;"L"</f>
        <v>1TS6/5L</v>
      </c>
      <c r="H203" s="65" t="str">
        <f t="shared" si="172"/>
        <v>1TS6/5L-*-*/1TS6/5L-Y2</v>
      </c>
      <c r="I203" s="65" t="s">
        <v>33</v>
      </c>
      <c r="J203" s="65" t="s">
        <v>33</v>
      </c>
      <c r="K203" s="65" t="str">
        <f t="shared" si="173"/>
        <v>1TS6/5L-Y2/*-*-1TS6/5L</v>
      </c>
      <c r="L203" s="64" t="str">
        <f t="shared" ref="L203" si="204">G203&amp;"-"&amp;RIGHT(M201,2)</f>
        <v>1TS6/5L-Y2</v>
      </c>
      <c r="M203" s="91"/>
      <c r="N203" s="88"/>
    </row>
    <row r="204" spans="2:14" ht="30" customHeight="1" x14ac:dyDescent="0.45">
      <c r="B204" s="87"/>
      <c r="C204" s="88"/>
      <c r="D204" s="89"/>
      <c r="E204" s="88" t="s">
        <v>336</v>
      </c>
      <c r="F204" s="88" t="s">
        <v>393</v>
      </c>
      <c r="G204" s="65" t="str">
        <f t="shared" ref="G204" si="205">"1TS"&amp;B189&amp;"/"&amp;LEFT(E204,1)&amp;"U"</f>
        <v>1TS6/6U</v>
      </c>
      <c r="H204" s="65" t="str">
        <f t="shared" si="172"/>
        <v>1TS6/6U-*-*/1TS6/6U-B2</v>
      </c>
      <c r="I204" s="65" t="s">
        <v>33</v>
      </c>
      <c r="J204" s="65" t="s">
        <v>33</v>
      </c>
      <c r="K204" s="65" t="str">
        <f t="shared" si="173"/>
        <v>1TS6/6U-B2/*-*-1TS6/6U</v>
      </c>
      <c r="L204" s="64" t="str">
        <f t="shared" ref="L204" si="206">G204&amp;"-"&amp;RIGHT(M204,2)</f>
        <v>1TS6/6U-B2</v>
      </c>
      <c r="M204" s="91" t="str">
        <f t="shared" ref="M204" si="207">"RTD-0"&amp;B189&amp;" VTP-0"&amp;B189&amp;" Winding Temperature B2"</f>
        <v>RTD-06 VTP-06 Winding Temperature B2</v>
      </c>
      <c r="N204" s="88"/>
    </row>
    <row r="205" spans="2:14" ht="30" customHeight="1" x14ac:dyDescent="0.45">
      <c r="B205" s="87"/>
      <c r="C205" s="88"/>
      <c r="D205" s="89"/>
      <c r="E205" s="88"/>
      <c r="F205" s="88"/>
      <c r="G205" s="65" t="str">
        <f t="shared" ref="G205" si="208">"1TS"&amp;B189&amp;"/"&amp;LEFT(E204,1)&amp;"M"</f>
        <v>1TS6/6M</v>
      </c>
      <c r="H205" s="65" t="str">
        <f t="shared" si="172"/>
        <v>1TS6/6M-*-*/1TS6/6M-B2</v>
      </c>
      <c r="I205" s="65" t="s">
        <v>33</v>
      </c>
      <c r="J205" s="65" t="s">
        <v>33</v>
      </c>
      <c r="K205" s="65" t="str">
        <f t="shared" si="173"/>
        <v>1TS6/6M-B2/*-*-1TS6/6M</v>
      </c>
      <c r="L205" s="64" t="str">
        <f t="shared" ref="L205" si="209">G205&amp;"-"&amp;RIGHT(M204,2)</f>
        <v>1TS6/6M-B2</v>
      </c>
      <c r="M205" s="91"/>
      <c r="N205" s="88"/>
    </row>
    <row r="206" spans="2:14" ht="30" customHeight="1" x14ac:dyDescent="0.45">
      <c r="B206" s="87"/>
      <c r="C206" s="88"/>
      <c r="D206" s="89"/>
      <c r="E206" s="88"/>
      <c r="F206" s="88"/>
      <c r="G206" s="65" t="str">
        <f t="shared" ref="G206" si="210">"1TS"&amp;B189&amp;"/"&amp;LEFT(E204,1)&amp;"L"</f>
        <v>1TS6/6L</v>
      </c>
      <c r="H206" s="65" t="str">
        <f t="shared" si="172"/>
        <v>1TS6/6L-*-*/1TS6/6L-B2</v>
      </c>
      <c r="I206" s="65" t="s">
        <v>33</v>
      </c>
      <c r="J206" s="65" t="s">
        <v>33</v>
      </c>
      <c r="K206" s="65" t="str">
        <f t="shared" si="173"/>
        <v>1TS6/6L-B2/*-*-1TS6/6L</v>
      </c>
      <c r="L206" s="64" t="str">
        <f t="shared" ref="L206" si="211">G206&amp;"-"&amp;RIGHT(M204,2)</f>
        <v>1TS6/6L-B2</v>
      </c>
      <c r="M206" s="91"/>
      <c r="N206" s="88"/>
    </row>
    <row r="207" spans="2:14" ht="30" customHeight="1" x14ac:dyDescent="0.45">
      <c r="B207" s="87"/>
      <c r="C207" s="88"/>
      <c r="D207" s="89"/>
      <c r="E207" s="88" t="s">
        <v>337</v>
      </c>
      <c r="F207" s="88" t="s">
        <v>394</v>
      </c>
      <c r="G207" s="65" t="str">
        <f t="shared" ref="G207" si="212">"1TS"&amp;B189&amp;"/"&amp;LEFT(E207,1)&amp;"U"</f>
        <v>1TS6/7U</v>
      </c>
      <c r="H207" s="65" t="str">
        <f t="shared" si="172"/>
        <v>1TS6/7U-*-*/1TS6/7U-NDE</v>
      </c>
      <c r="I207" s="65" t="s">
        <v>33</v>
      </c>
      <c r="J207" s="65" t="s">
        <v>33</v>
      </c>
      <c r="K207" s="65" t="str">
        <f t="shared" si="173"/>
        <v>1TS6/7U-NDE/*-*-1TS6/7U</v>
      </c>
      <c r="L207" s="64" t="str">
        <f t="shared" ref="L207:L209" si="213">G207&amp;"-"&amp;"NDE"</f>
        <v>1TS6/7U-NDE</v>
      </c>
      <c r="M207" s="91" t="str">
        <f t="shared" ref="M207" si="214">"RTD-0"&amp;B189&amp;" VTP-0"&amp;B189&amp;" Bearing Temperature Non-Drive End"</f>
        <v>RTD-06 VTP-06 Bearing Temperature Non-Drive End</v>
      </c>
      <c r="N207" s="88"/>
    </row>
    <row r="208" spans="2:14" ht="30" customHeight="1" x14ac:dyDescent="0.45">
      <c r="B208" s="87"/>
      <c r="C208" s="88"/>
      <c r="D208" s="89"/>
      <c r="E208" s="88"/>
      <c r="F208" s="88"/>
      <c r="G208" s="65" t="str">
        <f t="shared" ref="G208" si="215">"1TS"&amp;B189&amp;"/"&amp;LEFT(E207,1)&amp;"M"</f>
        <v>1TS6/7M</v>
      </c>
      <c r="H208" s="65" t="str">
        <f t="shared" si="172"/>
        <v>1TS6/7M-*-*/1TS6/7M-NDE</v>
      </c>
      <c r="I208" s="65" t="s">
        <v>33</v>
      </c>
      <c r="J208" s="65" t="s">
        <v>33</v>
      </c>
      <c r="K208" s="65" t="str">
        <f t="shared" si="173"/>
        <v>1TS6/7M-NDE/*-*-1TS6/7M</v>
      </c>
      <c r="L208" s="64" t="str">
        <f t="shared" si="213"/>
        <v>1TS6/7M-NDE</v>
      </c>
      <c r="M208" s="91"/>
      <c r="N208" s="88"/>
    </row>
    <row r="209" spans="2:14" ht="30" customHeight="1" x14ac:dyDescent="0.45">
      <c r="B209" s="87"/>
      <c r="C209" s="88"/>
      <c r="D209" s="89"/>
      <c r="E209" s="88"/>
      <c r="F209" s="88"/>
      <c r="G209" s="65" t="str">
        <f t="shared" ref="G209" si="216">"1TS"&amp;B189&amp;"/"&amp;LEFT(E207,1)&amp;"L"</f>
        <v>1TS6/7L</v>
      </c>
      <c r="H209" s="65" t="str">
        <f t="shared" si="172"/>
        <v>1TS6/7L-*-*/1TS6/7L-NDE</v>
      </c>
      <c r="I209" s="65" t="s">
        <v>33</v>
      </c>
      <c r="J209" s="65" t="s">
        <v>33</v>
      </c>
      <c r="K209" s="65" t="str">
        <f t="shared" si="173"/>
        <v>1TS6/7L-NDE/*-*-1TS6/7L</v>
      </c>
      <c r="L209" s="64" t="str">
        <f t="shared" si="213"/>
        <v>1TS6/7L-NDE</v>
      </c>
      <c r="M209" s="91"/>
      <c r="N209" s="88"/>
    </row>
    <row r="210" spans="2:14" ht="30" customHeight="1" x14ac:dyDescent="0.45">
      <c r="B210" s="87"/>
      <c r="C210" s="88"/>
      <c r="D210" s="89"/>
      <c r="E210" s="88" t="s">
        <v>338</v>
      </c>
      <c r="F210" s="88" t="s">
        <v>395</v>
      </c>
      <c r="G210" s="65" t="str">
        <f t="shared" ref="G210" si="217">"1TS"&amp;B189&amp;"/"&amp;LEFT(E210,1)&amp;"U"</f>
        <v>1TS6/8U</v>
      </c>
      <c r="H210" s="65" t="str">
        <f t="shared" si="172"/>
        <v>1TS6/8U-*-*/1TS6/8U-DE</v>
      </c>
      <c r="I210" s="65" t="s">
        <v>33</v>
      </c>
      <c r="J210" s="65" t="s">
        <v>33</v>
      </c>
      <c r="K210" s="65" t="str">
        <f t="shared" si="173"/>
        <v>1TS6/8U-DE/*-*-1TS6/8U</v>
      </c>
      <c r="L210" s="64" t="str">
        <f t="shared" ref="L210:L212" si="218">G210&amp;"-"&amp;"DE"</f>
        <v>1TS6/8U-DE</v>
      </c>
      <c r="M210" s="91" t="str">
        <f t="shared" ref="M210" si="219">"RTD-0"&amp;B189&amp;" VTP-0"&amp;B189&amp;" Bearing Temperature Drive End"</f>
        <v>RTD-06 VTP-06 Bearing Temperature Drive End</v>
      </c>
      <c r="N210" s="88"/>
    </row>
    <row r="211" spans="2:14" ht="30" customHeight="1" x14ac:dyDescent="0.45">
      <c r="B211" s="87"/>
      <c r="C211" s="88"/>
      <c r="D211" s="89"/>
      <c r="E211" s="88"/>
      <c r="F211" s="88"/>
      <c r="G211" s="65" t="str">
        <f t="shared" ref="G211" si="220">"1TS"&amp;B189&amp;"/"&amp;LEFT(E210,1)&amp;"M"</f>
        <v>1TS6/8M</v>
      </c>
      <c r="H211" s="65" t="str">
        <f t="shared" si="172"/>
        <v>1TS6/8M-*-*/1TS6/8M-DE</v>
      </c>
      <c r="I211" s="65" t="s">
        <v>33</v>
      </c>
      <c r="J211" s="65" t="s">
        <v>33</v>
      </c>
      <c r="K211" s="65" t="str">
        <f t="shared" si="173"/>
        <v>1TS6/8M-DE/*-*-1TS6/8M</v>
      </c>
      <c r="L211" s="64" t="str">
        <f t="shared" si="218"/>
        <v>1TS6/8M-DE</v>
      </c>
      <c r="M211" s="91"/>
      <c r="N211" s="88"/>
    </row>
    <row r="212" spans="2:14" ht="30" customHeight="1" x14ac:dyDescent="0.45">
      <c r="B212" s="87"/>
      <c r="C212" s="88"/>
      <c r="D212" s="89"/>
      <c r="E212" s="88"/>
      <c r="F212" s="88"/>
      <c r="G212" s="65" t="str">
        <f t="shared" ref="G212" si="221">"1TS"&amp;B189&amp;"/"&amp;LEFT(E210,1)&amp;"L"</f>
        <v>1TS6/8L</v>
      </c>
      <c r="H212" s="65" t="str">
        <f t="shared" si="172"/>
        <v>1TS6/8L-*-*/1TS6/8L-DE</v>
      </c>
      <c r="I212" s="65" t="s">
        <v>33</v>
      </c>
      <c r="J212" s="65" t="s">
        <v>33</v>
      </c>
      <c r="K212" s="65" t="str">
        <f t="shared" si="173"/>
        <v>1TS6/8L-DE/*-*-1TS6/8L</v>
      </c>
      <c r="L212" s="64" t="str">
        <f t="shared" si="218"/>
        <v>1TS6/8L-DE</v>
      </c>
      <c r="M212" s="91"/>
      <c r="N212" s="88"/>
    </row>
    <row r="213" spans="2:14" ht="30" customHeight="1" x14ac:dyDescent="0.45">
      <c r="B213" s="87"/>
      <c r="C213" s="88"/>
      <c r="D213" s="89"/>
      <c r="E213" s="88" t="s">
        <v>339</v>
      </c>
      <c r="F213" s="88" t="s">
        <v>45</v>
      </c>
      <c r="G213" s="65" t="s">
        <v>45</v>
      </c>
      <c r="H213" s="65" t="s">
        <v>45</v>
      </c>
      <c r="I213" s="65" t="s">
        <v>45</v>
      </c>
      <c r="J213" s="65" t="s">
        <v>45</v>
      </c>
      <c r="K213" s="65" t="s">
        <v>45</v>
      </c>
      <c r="L213" s="69" t="s">
        <v>45</v>
      </c>
      <c r="M213" s="90" t="s">
        <v>34</v>
      </c>
      <c r="N213" s="88"/>
    </row>
    <row r="214" spans="2:14" ht="30" customHeight="1" x14ac:dyDescent="0.45">
      <c r="B214" s="87"/>
      <c r="C214" s="88"/>
      <c r="D214" s="89"/>
      <c r="E214" s="88"/>
      <c r="F214" s="88"/>
      <c r="G214" s="65" t="s">
        <v>45</v>
      </c>
      <c r="H214" s="65" t="s">
        <v>45</v>
      </c>
      <c r="I214" s="65" t="s">
        <v>45</v>
      </c>
      <c r="J214" s="65" t="s">
        <v>45</v>
      </c>
      <c r="K214" s="65" t="s">
        <v>45</v>
      </c>
      <c r="L214" s="69" t="s">
        <v>45</v>
      </c>
      <c r="M214" s="90"/>
      <c r="N214" s="88"/>
    </row>
    <row r="215" spans="2:14" ht="30" customHeight="1" x14ac:dyDescent="0.45">
      <c r="B215" s="87"/>
      <c r="C215" s="88"/>
      <c r="D215" s="89"/>
      <c r="E215" s="88"/>
      <c r="F215" s="88"/>
      <c r="G215" s="65" t="s">
        <v>45</v>
      </c>
      <c r="H215" s="65" t="s">
        <v>45</v>
      </c>
      <c r="I215" s="65" t="s">
        <v>45</v>
      </c>
      <c r="J215" s="65" t="s">
        <v>45</v>
      </c>
      <c r="K215" s="65" t="s">
        <v>45</v>
      </c>
      <c r="L215" s="69" t="s">
        <v>45</v>
      </c>
      <c r="M215" s="90"/>
      <c r="N215" s="88"/>
    </row>
    <row r="216" spans="2:14" ht="30" customHeight="1" x14ac:dyDescent="0.45">
      <c r="B216" s="87"/>
      <c r="C216" s="88"/>
      <c r="D216" s="89"/>
      <c r="E216" s="88" t="s">
        <v>340</v>
      </c>
      <c r="F216" s="88" t="s">
        <v>45</v>
      </c>
      <c r="G216" s="65" t="s">
        <v>45</v>
      </c>
      <c r="H216" s="65" t="s">
        <v>45</v>
      </c>
      <c r="I216" s="65" t="s">
        <v>45</v>
      </c>
      <c r="J216" s="65" t="s">
        <v>45</v>
      </c>
      <c r="K216" s="65" t="s">
        <v>45</v>
      </c>
      <c r="L216" s="69" t="s">
        <v>45</v>
      </c>
      <c r="M216" s="90" t="s">
        <v>34</v>
      </c>
      <c r="N216" s="88"/>
    </row>
    <row r="217" spans="2:14" ht="30" customHeight="1" x14ac:dyDescent="0.45">
      <c r="B217" s="87"/>
      <c r="C217" s="88"/>
      <c r="D217" s="89"/>
      <c r="E217" s="88"/>
      <c r="F217" s="88"/>
      <c r="G217" s="65" t="s">
        <v>45</v>
      </c>
      <c r="H217" s="65" t="s">
        <v>45</v>
      </c>
      <c r="I217" s="65" t="s">
        <v>45</v>
      </c>
      <c r="J217" s="65" t="s">
        <v>45</v>
      </c>
      <c r="K217" s="65" t="s">
        <v>45</v>
      </c>
      <c r="L217" s="69" t="s">
        <v>45</v>
      </c>
      <c r="M217" s="90"/>
      <c r="N217" s="88"/>
    </row>
    <row r="218" spans="2:14" ht="30" customHeight="1" x14ac:dyDescent="0.45">
      <c r="B218" s="87"/>
      <c r="C218" s="88"/>
      <c r="D218" s="89"/>
      <c r="E218" s="88"/>
      <c r="F218" s="88"/>
      <c r="G218" s="65" t="s">
        <v>45</v>
      </c>
      <c r="H218" s="65" t="s">
        <v>45</v>
      </c>
      <c r="I218" s="65" t="s">
        <v>45</v>
      </c>
      <c r="J218" s="65" t="s">
        <v>45</v>
      </c>
      <c r="K218" s="65" t="s">
        <v>45</v>
      </c>
      <c r="L218" s="69" t="s">
        <v>45</v>
      </c>
      <c r="M218" s="90"/>
      <c r="N218" s="88"/>
    </row>
    <row r="219" spans="2:14" ht="30" customHeight="1" x14ac:dyDescent="0.45">
      <c r="B219" s="87"/>
      <c r="C219" s="88"/>
      <c r="D219" s="89"/>
      <c r="E219" s="88" t="s">
        <v>341</v>
      </c>
      <c r="F219" s="88" t="s">
        <v>45</v>
      </c>
      <c r="G219" s="65" t="s">
        <v>45</v>
      </c>
      <c r="H219" s="65" t="s">
        <v>45</v>
      </c>
      <c r="I219" s="65" t="s">
        <v>45</v>
      </c>
      <c r="J219" s="65" t="s">
        <v>45</v>
      </c>
      <c r="K219" s="65" t="s">
        <v>45</v>
      </c>
      <c r="L219" s="69" t="s">
        <v>45</v>
      </c>
      <c r="M219" s="90" t="s">
        <v>34</v>
      </c>
      <c r="N219" s="88"/>
    </row>
    <row r="220" spans="2:14" ht="30" customHeight="1" x14ac:dyDescent="0.45">
      <c r="B220" s="87"/>
      <c r="C220" s="88"/>
      <c r="D220" s="89"/>
      <c r="E220" s="88"/>
      <c r="F220" s="88"/>
      <c r="G220" s="65" t="s">
        <v>45</v>
      </c>
      <c r="H220" s="65" t="s">
        <v>45</v>
      </c>
      <c r="I220" s="65" t="s">
        <v>45</v>
      </c>
      <c r="J220" s="65" t="s">
        <v>45</v>
      </c>
      <c r="K220" s="65" t="s">
        <v>45</v>
      </c>
      <c r="L220" s="69" t="s">
        <v>45</v>
      </c>
      <c r="M220" s="90"/>
      <c r="N220" s="88"/>
    </row>
    <row r="221" spans="2:14" ht="30" customHeight="1" x14ac:dyDescent="0.45">
      <c r="B221" s="87"/>
      <c r="C221" s="88"/>
      <c r="D221" s="89"/>
      <c r="E221" s="88"/>
      <c r="F221" s="88"/>
      <c r="G221" s="65" t="s">
        <v>45</v>
      </c>
      <c r="H221" s="65" t="s">
        <v>45</v>
      </c>
      <c r="I221" s="65" t="s">
        <v>45</v>
      </c>
      <c r="J221" s="65" t="s">
        <v>45</v>
      </c>
      <c r="K221" s="65" t="s">
        <v>45</v>
      </c>
      <c r="L221" s="69" t="s">
        <v>45</v>
      </c>
      <c r="M221" s="90"/>
      <c r="N221" s="88"/>
    </row>
    <row r="222" spans="2:14" ht="30" customHeight="1" x14ac:dyDescent="0.45">
      <c r="B222" s="87"/>
      <c r="C222" s="88"/>
      <c r="D222" s="89"/>
      <c r="E222" s="88" t="s">
        <v>342</v>
      </c>
      <c r="F222" s="88" t="s">
        <v>45</v>
      </c>
      <c r="G222" s="65" t="s">
        <v>45</v>
      </c>
      <c r="H222" s="65" t="s">
        <v>45</v>
      </c>
      <c r="I222" s="65" t="s">
        <v>45</v>
      </c>
      <c r="J222" s="65" t="s">
        <v>45</v>
      </c>
      <c r="K222" s="65" t="s">
        <v>45</v>
      </c>
      <c r="L222" s="69" t="s">
        <v>45</v>
      </c>
      <c r="M222" s="90" t="s">
        <v>34</v>
      </c>
      <c r="N222" s="88"/>
    </row>
    <row r="223" spans="2:14" ht="30" customHeight="1" x14ac:dyDescent="0.45">
      <c r="B223" s="87"/>
      <c r="C223" s="88"/>
      <c r="D223" s="89"/>
      <c r="E223" s="88"/>
      <c r="F223" s="88"/>
      <c r="G223" s="65" t="s">
        <v>45</v>
      </c>
      <c r="H223" s="65" t="s">
        <v>45</v>
      </c>
      <c r="I223" s="65" t="s">
        <v>45</v>
      </c>
      <c r="J223" s="65" t="s">
        <v>45</v>
      </c>
      <c r="K223" s="65" t="s">
        <v>45</v>
      </c>
      <c r="L223" s="69" t="s">
        <v>45</v>
      </c>
      <c r="M223" s="90"/>
      <c r="N223" s="88"/>
    </row>
    <row r="224" spans="2:14" ht="30" customHeight="1" x14ac:dyDescent="0.45">
      <c r="B224" s="87"/>
      <c r="C224" s="88"/>
      <c r="D224" s="89"/>
      <c r="E224" s="88"/>
      <c r="F224" s="88"/>
      <c r="G224" s="65" t="s">
        <v>45</v>
      </c>
      <c r="H224" s="65" t="s">
        <v>45</v>
      </c>
      <c r="I224" s="65" t="s">
        <v>45</v>
      </c>
      <c r="J224" s="65" t="s">
        <v>45</v>
      </c>
      <c r="K224" s="65" t="s">
        <v>45</v>
      </c>
      <c r="L224" s="69" t="s">
        <v>45</v>
      </c>
      <c r="M224" s="90"/>
      <c r="N224" s="88"/>
    </row>
    <row r="225" spans="2:14" ht="30" customHeight="1" x14ac:dyDescent="0.45">
      <c r="B225" s="87">
        <f t="shared" ref="B225" si="222">B189+1</f>
        <v>7</v>
      </c>
      <c r="C225" s="88" t="str">
        <f t="shared" ref="C225" si="223">"TS-0"&amp;B225</f>
        <v>TS-07</v>
      </c>
      <c r="D225" s="89" t="s">
        <v>379</v>
      </c>
      <c r="E225" s="88" t="s">
        <v>331</v>
      </c>
      <c r="F225" s="88" t="s">
        <v>396</v>
      </c>
      <c r="G225" s="65" t="str">
        <f t="shared" ref="G225" si="224">"1TS"&amp;B225&amp;"/"&amp;LEFT(E225,1)&amp;"U"</f>
        <v>1TS7/1U</v>
      </c>
      <c r="H225" s="65" t="str">
        <f>_xlfn.CONCAT(G225,"-",J225,"-",I225,"/",L225)</f>
        <v>1TS7/1U-*-*/1TS7/1U-R1</v>
      </c>
      <c r="I225" s="65" t="s">
        <v>33</v>
      </c>
      <c r="J225" s="65" t="s">
        <v>33</v>
      </c>
      <c r="K225" s="65" t="str">
        <f>_xlfn.CONCAT(L225,"/",J225,"-",I225,"-",G225)</f>
        <v>1TS7/1U-R1/*-*-1TS7/1U</v>
      </c>
      <c r="L225" s="64" t="str">
        <f t="shared" ref="L225" si="225">G225&amp;"-"&amp;RIGHT(M225,2)</f>
        <v>1TS7/1U-R1</v>
      </c>
      <c r="M225" s="91" t="str">
        <f t="shared" ref="M225" si="226">"RTD-0"&amp;B225&amp;" VTP-0"&amp;B225&amp;" Winding Temperature R1"</f>
        <v>RTD-07 VTP-07 Winding Temperature R1</v>
      </c>
      <c r="N225" s="88"/>
    </row>
    <row r="226" spans="2:14" ht="30" customHeight="1" x14ac:dyDescent="0.45">
      <c r="B226" s="87"/>
      <c r="C226" s="88"/>
      <c r="D226" s="89"/>
      <c r="E226" s="88"/>
      <c r="F226" s="88"/>
      <c r="G226" s="65" t="str">
        <f t="shared" ref="G226" si="227">"1TS"&amp;B225&amp;"/"&amp;LEFT(E225,1)&amp;"M"</f>
        <v>1TS7/1M</v>
      </c>
      <c r="H226" s="65" t="str">
        <f t="shared" ref="H226:H248" si="228">_xlfn.CONCAT(G226,"-",J226,"-",I226,"/",L226)</f>
        <v>1TS7/1M-*-*/1TS7/1M-R1</v>
      </c>
      <c r="I226" s="65" t="s">
        <v>33</v>
      </c>
      <c r="J226" s="65" t="s">
        <v>33</v>
      </c>
      <c r="K226" s="65" t="str">
        <f t="shared" ref="K226:K248" si="229">_xlfn.CONCAT(L226,"/",J226,"-",I226,"-",G226)</f>
        <v>1TS7/1M-R1/*-*-1TS7/1M</v>
      </c>
      <c r="L226" s="64" t="str">
        <f t="shared" ref="L226" si="230">G226&amp;"-"&amp;RIGHT(M225,2)</f>
        <v>1TS7/1M-R1</v>
      </c>
      <c r="M226" s="91"/>
      <c r="N226" s="88"/>
    </row>
    <row r="227" spans="2:14" ht="30" customHeight="1" x14ac:dyDescent="0.45">
      <c r="B227" s="87"/>
      <c r="C227" s="88"/>
      <c r="D227" s="89"/>
      <c r="E227" s="88"/>
      <c r="F227" s="88"/>
      <c r="G227" s="65" t="str">
        <f t="shared" ref="G227" si="231">"1TS"&amp;B225&amp;"/"&amp;LEFT(E225,1)&amp;"L"</f>
        <v>1TS7/1L</v>
      </c>
      <c r="H227" s="65" t="str">
        <f t="shared" si="228"/>
        <v>1TS7/1L-*-*/1TS7/1L-R1</v>
      </c>
      <c r="I227" s="65" t="s">
        <v>33</v>
      </c>
      <c r="J227" s="65" t="s">
        <v>33</v>
      </c>
      <c r="K227" s="65" t="str">
        <f t="shared" si="229"/>
        <v>1TS7/1L-R1/*-*-1TS7/1L</v>
      </c>
      <c r="L227" s="64" t="str">
        <f t="shared" ref="L227" si="232">G227&amp;"-"&amp;RIGHT(M225,2)</f>
        <v>1TS7/1L-R1</v>
      </c>
      <c r="M227" s="91"/>
      <c r="N227" s="88"/>
    </row>
    <row r="228" spans="2:14" ht="30" customHeight="1" x14ac:dyDescent="0.45">
      <c r="B228" s="87"/>
      <c r="C228" s="88"/>
      <c r="D228" s="89"/>
      <c r="E228" s="88" t="s">
        <v>332</v>
      </c>
      <c r="F228" s="88" t="s">
        <v>397</v>
      </c>
      <c r="G228" s="65" t="str">
        <f t="shared" ref="G228" si="233">"1TS"&amp;B225&amp;"/"&amp;LEFT(E228,1)&amp;"U"</f>
        <v>1TS7/2U</v>
      </c>
      <c r="H228" s="65" t="str">
        <f t="shared" si="228"/>
        <v>1TS7/2U-*-*/1TS7/2U-Y1</v>
      </c>
      <c r="I228" s="65" t="s">
        <v>33</v>
      </c>
      <c r="J228" s="65" t="s">
        <v>33</v>
      </c>
      <c r="K228" s="65" t="str">
        <f t="shared" si="229"/>
        <v>1TS7/2U-Y1/*-*-1TS7/2U</v>
      </c>
      <c r="L228" s="64" t="str">
        <f t="shared" ref="L228" si="234">G228&amp;"-"&amp;RIGHT(M228,2)</f>
        <v>1TS7/2U-Y1</v>
      </c>
      <c r="M228" s="91" t="str">
        <f t="shared" ref="M228" si="235">"RTD-0"&amp;B225&amp;" VTP-0"&amp;B225&amp;" Winding Temperature Y1"</f>
        <v>RTD-07 VTP-07 Winding Temperature Y1</v>
      </c>
      <c r="N228" s="88"/>
    </row>
    <row r="229" spans="2:14" ht="30" customHeight="1" x14ac:dyDescent="0.45">
      <c r="B229" s="87"/>
      <c r="C229" s="88"/>
      <c r="D229" s="89"/>
      <c r="E229" s="88"/>
      <c r="F229" s="88"/>
      <c r="G229" s="65" t="str">
        <f t="shared" ref="G229" si="236">"1TS"&amp;B225&amp;"/"&amp;LEFT(E228,1)&amp;"M"</f>
        <v>1TS7/2M</v>
      </c>
      <c r="H229" s="65" t="str">
        <f t="shared" si="228"/>
        <v>1TS7/2M-*-*/1TS7/2M-Y1</v>
      </c>
      <c r="I229" s="65" t="s">
        <v>33</v>
      </c>
      <c r="J229" s="65" t="s">
        <v>33</v>
      </c>
      <c r="K229" s="65" t="str">
        <f t="shared" si="229"/>
        <v>1TS7/2M-Y1/*-*-1TS7/2M</v>
      </c>
      <c r="L229" s="64" t="str">
        <f t="shared" ref="L229" si="237">G229&amp;"-"&amp;RIGHT(M228,2)</f>
        <v>1TS7/2M-Y1</v>
      </c>
      <c r="M229" s="91"/>
      <c r="N229" s="88"/>
    </row>
    <row r="230" spans="2:14" ht="30" customHeight="1" x14ac:dyDescent="0.45">
      <c r="B230" s="87"/>
      <c r="C230" s="88"/>
      <c r="D230" s="89"/>
      <c r="E230" s="88"/>
      <c r="F230" s="88"/>
      <c r="G230" s="65" t="str">
        <f t="shared" ref="G230" si="238">"1TS"&amp;B225&amp;"/"&amp;LEFT(E228,1)&amp;"L"</f>
        <v>1TS7/2L</v>
      </c>
      <c r="H230" s="65" t="str">
        <f t="shared" si="228"/>
        <v>1TS7/2L-*-*/1TS7/2L-Y1</v>
      </c>
      <c r="I230" s="65" t="s">
        <v>33</v>
      </c>
      <c r="J230" s="65" t="s">
        <v>33</v>
      </c>
      <c r="K230" s="65" t="str">
        <f t="shared" si="229"/>
        <v>1TS7/2L-Y1/*-*-1TS7/2L</v>
      </c>
      <c r="L230" s="64" t="str">
        <f t="shared" ref="L230" si="239">G230&amp;"-"&amp;RIGHT(M228,2)</f>
        <v>1TS7/2L-Y1</v>
      </c>
      <c r="M230" s="91"/>
      <c r="N230" s="88"/>
    </row>
    <row r="231" spans="2:14" ht="30" customHeight="1" x14ac:dyDescent="0.45">
      <c r="B231" s="87"/>
      <c r="C231" s="88"/>
      <c r="D231" s="89"/>
      <c r="E231" s="88" t="s">
        <v>333</v>
      </c>
      <c r="F231" s="88" t="s">
        <v>398</v>
      </c>
      <c r="G231" s="65" t="str">
        <f t="shared" ref="G231" si="240">"1TS"&amp;B225&amp;"/"&amp;LEFT(E231,1)&amp;"U"</f>
        <v>1TS7/3U</v>
      </c>
      <c r="H231" s="65" t="str">
        <f t="shared" si="228"/>
        <v>1TS7/3U-*-*/1TS7/3U-B1</v>
      </c>
      <c r="I231" s="65" t="s">
        <v>33</v>
      </c>
      <c r="J231" s="65" t="s">
        <v>33</v>
      </c>
      <c r="K231" s="65" t="str">
        <f t="shared" si="229"/>
        <v>1TS7/3U-B1/*-*-1TS7/3U</v>
      </c>
      <c r="L231" s="64" t="str">
        <f t="shared" ref="L231" si="241">G231&amp;"-"&amp;RIGHT(M231,2)</f>
        <v>1TS7/3U-B1</v>
      </c>
      <c r="M231" s="91" t="str">
        <f t="shared" ref="M231" si="242">"RTD-0"&amp;B225&amp;" VTP-0"&amp;B225&amp;" Winding Temperature B1"</f>
        <v>RTD-07 VTP-07 Winding Temperature B1</v>
      </c>
      <c r="N231" s="88"/>
    </row>
    <row r="232" spans="2:14" ht="30" customHeight="1" x14ac:dyDescent="0.45">
      <c r="B232" s="87"/>
      <c r="C232" s="88"/>
      <c r="D232" s="89"/>
      <c r="E232" s="88"/>
      <c r="F232" s="88"/>
      <c r="G232" s="65" t="str">
        <f t="shared" ref="G232" si="243">"1TS"&amp;B225&amp;"/"&amp;LEFT(E231,1)&amp;"M"</f>
        <v>1TS7/3M</v>
      </c>
      <c r="H232" s="65" t="str">
        <f t="shared" si="228"/>
        <v>1TS7/3M-*-*/1TS7/3M-B1</v>
      </c>
      <c r="I232" s="65" t="s">
        <v>33</v>
      </c>
      <c r="J232" s="65" t="s">
        <v>33</v>
      </c>
      <c r="K232" s="65" t="str">
        <f t="shared" si="229"/>
        <v>1TS7/3M-B1/*-*-1TS7/3M</v>
      </c>
      <c r="L232" s="64" t="str">
        <f t="shared" ref="L232" si="244">G232&amp;"-"&amp;RIGHT(M231,2)</f>
        <v>1TS7/3M-B1</v>
      </c>
      <c r="M232" s="91"/>
      <c r="N232" s="88"/>
    </row>
    <row r="233" spans="2:14" ht="30" customHeight="1" x14ac:dyDescent="0.45">
      <c r="B233" s="87"/>
      <c r="C233" s="88"/>
      <c r="D233" s="89"/>
      <c r="E233" s="88"/>
      <c r="F233" s="88"/>
      <c r="G233" s="65" t="str">
        <f t="shared" ref="G233" si="245">"1TS"&amp;B225&amp;"/"&amp;LEFT(E231,1)&amp;"L"</f>
        <v>1TS7/3L</v>
      </c>
      <c r="H233" s="65" t="str">
        <f t="shared" si="228"/>
        <v>1TS7/3L-*-*/1TS7/3L-B1</v>
      </c>
      <c r="I233" s="65" t="s">
        <v>33</v>
      </c>
      <c r="J233" s="65" t="s">
        <v>33</v>
      </c>
      <c r="K233" s="65" t="str">
        <f t="shared" si="229"/>
        <v>1TS7/3L-B1/*-*-1TS7/3L</v>
      </c>
      <c r="L233" s="64" t="str">
        <f t="shared" ref="L233" si="246">G233&amp;"-"&amp;RIGHT(M231,2)</f>
        <v>1TS7/3L-B1</v>
      </c>
      <c r="M233" s="91"/>
      <c r="N233" s="88"/>
    </row>
    <row r="234" spans="2:14" ht="30" customHeight="1" x14ac:dyDescent="0.45">
      <c r="B234" s="87"/>
      <c r="C234" s="88"/>
      <c r="D234" s="89"/>
      <c r="E234" s="88" t="s">
        <v>334</v>
      </c>
      <c r="F234" s="88" t="s">
        <v>399</v>
      </c>
      <c r="G234" s="65" t="str">
        <f t="shared" ref="G234" si="247">"1TS"&amp;B225&amp;"/"&amp;LEFT(E234,1)&amp;"U"</f>
        <v>1TS7/4U</v>
      </c>
      <c r="H234" s="65" t="str">
        <f t="shared" si="228"/>
        <v>1TS7/4U-*-*/1TS7/4U-R2</v>
      </c>
      <c r="I234" s="65" t="s">
        <v>33</v>
      </c>
      <c r="J234" s="65" t="s">
        <v>33</v>
      </c>
      <c r="K234" s="65" t="str">
        <f t="shared" si="229"/>
        <v>1TS7/4U-R2/*-*-1TS7/4U</v>
      </c>
      <c r="L234" s="64" t="str">
        <f t="shared" ref="L234" si="248">G234&amp;"-"&amp;RIGHT(M234,2)</f>
        <v>1TS7/4U-R2</v>
      </c>
      <c r="M234" s="91" t="str">
        <f t="shared" ref="M234" si="249">"RTD-0"&amp;B225&amp;" VTP-0"&amp;B225&amp;" Winding Temperature R2"</f>
        <v>RTD-07 VTP-07 Winding Temperature R2</v>
      </c>
      <c r="N234" s="88"/>
    </row>
    <row r="235" spans="2:14" ht="30" customHeight="1" x14ac:dyDescent="0.45">
      <c r="B235" s="87"/>
      <c r="C235" s="88"/>
      <c r="D235" s="89"/>
      <c r="E235" s="88"/>
      <c r="F235" s="88"/>
      <c r="G235" s="65" t="str">
        <f t="shared" ref="G235" si="250">"1TS"&amp;B225&amp;"/"&amp;LEFT(E234,1)&amp;"M"</f>
        <v>1TS7/4M</v>
      </c>
      <c r="H235" s="65" t="str">
        <f t="shared" si="228"/>
        <v>1TS7/4M-*-*/1TS7/4M-R2</v>
      </c>
      <c r="I235" s="65" t="s">
        <v>33</v>
      </c>
      <c r="J235" s="65" t="s">
        <v>33</v>
      </c>
      <c r="K235" s="65" t="str">
        <f t="shared" si="229"/>
        <v>1TS7/4M-R2/*-*-1TS7/4M</v>
      </c>
      <c r="L235" s="64" t="str">
        <f t="shared" ref="L235" si="251">G235&amp;"-"&amp;RIGHT(M234,2)</f>
        <v>1TS7/4M-R2</v>
      </c>
      <c r="M235" s="91"/>
      <c r="N235" s="88"/>
    </row>
    <row r="236" spans="2:14" ht="30" customHeight="1" x14ac:dyDescent="0.45">
      <c r="B236" s="87"/>
      <c r="C236" s="88"/>
      <c r="D236" s="89"/>
      <c r="E236" s="88"/>
      <c r="F236" s="88"/>
      <c r="G236" s="65" t="str">
        <f t="shared" ref="G236" si="252">"1TS"&amp;B225&amp;"/"&amp;LEFT(E234,1)&amp;"L"</f>
        <v>1TS7/4L</v>
      </c>
      <c r="H236" s="65" t="str">
        <f t="shared" si="228"/>
        <v>1TS7/4L-*-*/1TS7/4L-R2</v>
      </c>
      <c r="I236" s="65" t="s">
        <v>33</v>
      </c>
      <c r="J236" s="65" t="s">
        <v>33</v>
      </c>
      <c r="K236" s="65" t="str">
        <f t="shared" si="229"/>
        <v>1TS7/4L-R2/*-*-1TS7/4L</v>
      </c>
      <c r="L236" s="64" t="str">
        <f t="shared" ref="L236" si="253">G236&amp;"-"&amp;RIGHT(M234,2)</f>
        <v>1TS7/4L-R2</v>
      </c>
      <c r="M236" s="91"/>
      <c r="N236" s="88"/>
    </row>
    <row r="237" spans="2:14" ht="30" customHeight="1" x14ac:dyDescent="0.45">
      <c r="B237" s="87"/>
      <c r="C237" s="88"/>
      <c r="D237" s="89"/>
      <c r="E237" s="88" t="s">
        <v>335</v>
      </c>
      <c r="F237" s="88" t="s">
        <v>400</v>
      </c>
      <c r="G237" s="65" t="str">
        <f t="shared" ref="G237" si="254">"1TS"&amp;B225&amp;"/"&amp;LEFT(E237,1)&amp;"U"</f>
        <v>1TS7/5U</v>
      </c>
      <c r="H237" s="65" t="str">
        <f t="shared" si="228"/>
        <v>1TS7/5U-*-*/1TS7/5U-Y2</v>
      </c>
      <c r="I237" s="65" t="s">
        <v>33</v>
      </c>
      <c r="J237" s="65" t="s">
        <v>33</v>
      </c>
      <c r="K237" s="65" t="str">
        <f t="shared" si="229"/>
        <v>1TS7/5U-Y2/*-*-1TS7/5U</v>
      </c>
      <c r="L237" s="64" t="str">
        <f t="shared" ref="L237" si="255">G237&amp;"-"&amp;RIGHT(M237,2)</f>
        <v>1TS7/5U-Y2</v>
      </c>
      <c r="M237" s="91" t="str">
        <f t="shared" ref="M237" si="256">"RTD-0"&amp;B225&amp;" VTP-0"&amp;B225&amp;" Winding Temperature Y2"</f>
        <v>RTD-07 VTP-07 Winding Temperature Y2</v>
      </c>
      <c r="N237" s="88"/>
    </row>
    <row r="238" spans="2:14" ht="30" customHeight="1" x14ac:dyDescent="0.45">
      <c r="B238" s="87"/>
      <c r="C238" s="88"/>
      <c r="D238" s="89"/>
      <c r="E238" s="88"/>
      <c r="F238" s="88"/>
      <c r="G238" s="65" t="str">
        <f t="shared" ref="G238" si="257">"1TS"&amp;B225&amp;"/"&amp;LEFT(E237,1)&amp;"M"</f>
        <v>1TS7/5M</v>
      </c>
      <c r="H238" s="65" t="str">
        <f t="shared" si="228"/>
        <v>1TS7/5M-*-*/1TS7/5M-Y2</v>
      </c>
      <c r="I238" s="65" t="s">
        <v>33</v>
      </c>
      <c r="J238" s="65" t="s">
        <v>33</v>
      </c>
      <c r="K238" s="65" t="str">
        <f t="shared" si="229"/>
        <v>1TS7/5M-Y2/*-*-1TS7/5M</v>
      </c>
      <c r="L238" s="64" t="str">
        <f t="shared" ref="L238" si="258">G238&amp;"-"&amp;RIGHT(M237,2)</f>
        <v>1TS7/5M-Y2</v>
      </c>
      <c r="M238" s="91"/>
      <c r="N238" s="88"/>
    </row>
    <row r="239" spans="2:14" ht="30" customHeight="1" x14ac:dyDescent="0.45">
      <c r="B239" s="87"/>
      <c r="C239" s="88"/>
      <c r="D239" s="89"/>
      <c r="E239" s="88"/>
      <c r="F239" s="88"/>
      <c r="G239" s="65" t="str">
        <f t="shared" ref="G239" si="259">"1TS"&amp;B225&amp;"/"&amp;LEFT(E237,1)&amp;"L"</f>
        <v>1TS7/5L</v>
      </c>
      <c r="H239" s="65" t="str">
        <f t="shared" si="228"/>
        <v>1TS7/5L-*-*/1TS7/5L-Y2</v>
      </c>
      <c r="I239" s="65" t="s">
        <v>33</v>
      </c>
      <c r="J239" s="65" t="s">
        <v>33</v>
      </c>
      <c r="K239" s="65" t="str">
        <f t="shared" si="229"/>
        <v>1TS7/5L-Y2/*-*-1TS7/5L</v>
      </c>
      <c r="L239" s="64" t="str">
        <f t="shared" ref="L239" si="260">G239&amp;"-"&amp;RIGHT(M237,2)</f>
        <v>1TS7/5L-Y2</v>
      </c>
      <c r="M239" s="91"/>
      <c r="N239" s="88"/>
    </row>
    <row r="240" spans="2:14" ht="30" customHeight="1" x14ac:dyDescent="0.45">
      <c r="B240" s="87"/>
      <c r="C240" s="88"/>
      <c r="D240" s="89"/>
      <c r="E240" s="88" t="s">
        <v>336</v>
      </c>
      <c r="F240" s="88" t="s">
        <v>401</v>
      </c>
      <c r="G240" s="65" t="str">
        <f t="shared" ref="G240" si="261">"1TS"&amp;B225&amp;"/"&amp;LEFT(E240,1)&amp;"U"</f>
        <v>1TS7/6U</v>
      </c>
      <c r="H240" s="65" t="str">
        <f t="shared" si="228"/>
        <v>1TS7/6U-*-*/1TS7/6U-B2</v>
      </c>
      <c r="I240" s="65" t="s">
        <v>33</v>
      </c>
      <c r="J240" s="65" t="s">
        <v>33</v>
      </c>
      <c r="K240" s="65" t="str">
        <f t="shared" si="229"/>
        <v>1TS7/6U-B2/*-*-1TS7/6U</v>
      </c>
      <c r="L240" s="64" t="str">
        <f t="shared" ref="L240" si="262">G240&amp;"-"&amp;RIGHT(M240,2)</f>
        <v>1TS7/6U-B2</v>
      </c>
      <c r="M240" s="91" t="str">
        <f t="shared" ref="M240" si="263">"RTD-0"&amp;B225&amp;" VTP-0"&amp;B225&amp;" Winding Temperature B2"</f>
        <v>RTD-07 VTP-07 Winding Temperature B2</v>
      </c>
      <c r="N240" s="88"/>
    </row>
    <row r="241" spans="2:14" ht="30" customHeight="1" x14ac:dyDescent="0.45">
      <c r="B241" s="87"/>
      <c r="C241" s="88"/>
      <c r="D241" s="89"/>
      <c r="E241" s="88"/>
      <c r="F241" s="88"/>
      <c r="G241" s="65" t="str">
        <f t="shared" ref="G241" si="264">"1TS"&amp;B225&amp;"/"&amp;LEFT(E240,1)&amp;"M"</f>
        <v>1TS7/6M</v>
      </c>
      <c r="H241" s="65" t="str">
        <f t="shared" si="228"/>
        <v>1TS7/6M-*-*/1TS7/6M-B2</v>
      </c>
      <c r="I241" s="65" t="s">
        <v>33</v>
      </c>
      <c r="J241" s="65" t="s">
        <v>33</v>
      </c>
      <c r="K241" s="65" t="str">
        <f t="shared" si="229"/>
        <v>1TS7/6M-B2/*-*-1TS7/6M</v>
      </c>
      <c r="L241" s="64" t="str">
        <f t="shared" ref="L241" si="265">G241&amp;"-"&amp;RIGHT(M240,2)</f>
        <v>1TS7/6M-B2</v>
      </c>
      <c r="M241" s="91"/>
      <c r="N241" s="88"/>
    </row>
    <row r="242" spans="2:14" ht="30" customHeight="1" x14ac:dyDescent="0.45">
      <c r="B242" s="87"/>
      <c r="C242" s="88"/>
      <c r="D242" s="89"/>
      <c r="E242" s="88"/>
      <c r="F242" s="88"/>
      <c r="G242" s="65" t="str">
        <f t="shared" ref="G242" si="266">"1TS"&amp;B225&amp;"/"&amp;LEFT(E240,1)&amp;"L"</f>
        <v>1TS7/6L</v>
      </c>
      <c r="H242" s="65" t="str">
        <f t="shared" si="228"/>
        <v>1TS7/6L-*-*/1TS7/6L-B2</v>
      </c>
      <c r="I242" s="65" t="s">
        <v>33</v>
      </c>
      <c r="J242" s="65" t="s">
        <v>33</v>
      </c>
      <c r="K242" s="65" t="str">
        <f t="shared" si="229"/>
        <v>1TS7/6L-B2/*-*-1TS7/6L</v>
      </c>
      <c r="L242" s="64" t="str">
        <f t="shared" ref="L242" si="267">G242&amp;"-"&amp;RIGHT(M240,2)</f>
        <v>1TS7/6L-B2</v>
      </c>
      <c r="M242" s="91"/>
      <c r="N242" s="88"/>
    </row>
    <row r="243" spans="2:14" ht="30" customHeight="1" x14ac:dyDescent="0.45">
      <c r="B243" s="87"/>
      <c r="C243" s="88"/>
      <c r="D243" s="89"/>
      <c r="E243" s="88" t="s">
        <v>337</v>
      </c>
      <c r="F243" s="88" t="s">
        <v>402</v>
      </c>
      <c r="G243" s="65" t="str">
        <f t="shared" ref="G243" si="268">"1TS"&amp;B225&amp;"/"&amp;LEFT(E243,1)&amp;"U"</f>
        <v>1TS7/7U</v>
      </c>
      <c r="H243" s="65" t="str">
        <f t="shared" si="228"/>
        <v>1TS7/7U-*-*/1TS7/7U-NDE</v>
      </c>
      <c r="I243" s="65" t="s">
        <v>33</v>
      </c>
      <c r="J243" s="65" t="s">
        <v>33</v>
      </c>
      <c r="K243" s="65" t="str">
        <f t="shared" si="229"/>
        <v>1TS7/7U-NDE/*-*-1TS7/7U</v>
      </c>
      <c r="L243" s="64" t="str">
        <f t="shared" ref="L243:L245" si="269">G243&amp;"-"&amp;"NDE"</f>
        <v>1TS7/7U-NDE</v>
      </c>
      <c r="M243" s="91" t="str">
        <f t="shared" ref="M243" si="270">"RTD-0"&amp;B225&amp;" VTP-0"&amp;B225&amp;" Bearing Temperature Non-Drive End"</f>
        <v>RTD-07 VTP-07 Bearing Temperature Non-Drive End</v>
      </c>
      <c r="N243" s="88"/>
    </row>
    <row r="244" spans="2:14" ht="30" customHeight="1" x14ac:dyDescent="0.45">
      <c r="B244" s="87"/>
      <c r="C244" s="88"/>
      <c r="D244" s="89"/>
      <c r="E244" s="88"/>
      <c r="F244" s="88"/>
      <c r="G244" s="65" t="str">
        <f t="shared" ref="G244" si="271">"1TS"&amp;B225&amp;"/"&amp;LEFT(E243,1)&amp;"M"</f>
        <v>1TS7/7M</v>
      </c>
      <c r="H244" s="65" t="str">
        <f t="shared" si="228"/>
        <v>1TS7/7M-*-*/1TS7/7M-NDE</v>
      </c>
      <c r="I244" s="65" t="s">
        <v>33</v>
      </c>
      <c r="J244" s="65" t="s">
        <v>33</v>
      </c>
      <c r="K244" s="65" t="str">
        <f t="shared" si="229"/>
        <v>1TS7/7M-NDE/*-*-1TS7/7M</v>
      </c>
      <c r="L244" s="64" t="str">
        <f t="shared" si="269"/>
        <v>1TS7/7M-NDE</v>
      </c>
      <c r="M244" s="91"/>
      <c r="N244" s="88"/>
    </row>
    <row r="245" spans="2:14" ht="30" customHeight="1" x14ac:dyDescent="0.45">
      <c r="B245" s="87"/>
      <c r="C245" s="88"/>
      <c r="D245" s="89"/>
      <c r="E245" s="88"/>
      <c r="F245" s="88"/>
      <c r="G245" s="65" t="str">
        <f t="shared" ref="G245" si="272">"1TS"&amp;B225&amp;"/"&amp;LEFT(E243,1)&amp;"L"</f>
        <v>1TS7/7L</v>
      </c>
      <c r="H245" s="65" t="str">
        <f t="shared" si="228"/>
        <v>1TS7/7L-*-*/1TS7/7L-NDE</v>
      </c>
      <c r="I245" s="65" t="s">
        <v>33</v>
      </c>
      <c r="J245" s="65" t="s">
        <v>33</v>
      </c>
      <c r="K245" s="65" t="str">
        <f t="shared" si="229"/>
        <v>1TS7/7L-NDE/*-*-1TS7/7L</v>
      </c>
      <c r="L245" s="64" t="str">
        <f t="shared" si="269"/>
        <v>1TS7/7L-NDE</v>
      </c>
      <c r="M245" s="91"/>
      <c r="N245" s="88"/>
    </row>
    <row r="246" spans="2:14" ht="30" customHeight="1" x14ac:dyDescent="0.45">
      <c r="B246" s="87"/>
      <c r="C246" s="88"/>
      <c r="D246" s="89"/>
      <c r="E246" s="88" t="s">
        <v>338</v>
      </c>
      <c r="F246" s="88" t="s">
        <v>403</v>
      </c>
      <c r="G246" s="65" t="str">
        <f t="shared" ref="G246" si="273">"1TS"&amp;B225&amp;"/"&amp;LEFT(E246,1)&amp;"U"</f>
        <v>1TS7/8U</v>
      </c>
      <c r="H246" s="65" t="str">
        <f t="shared" si="228"/>
        <v>1TS7/8U-*-*/1TS7/8U-DE</v>
      </c>
      <c r="I246" s="65" t="s">
        <v>33</v>
      </c>
      <c r="J246" s="65" t="s">
        <v>33</v>
      </c>
      <c r="K246" s="65" t="str">
        <f t="shared" si="229"/>
        <v>1TS7/8U-DE/*-*-1TS7/8U</v>
      </c>
      <c r="L246" s="64" t="str">
        <f t="shared" ref="L246:L248" si="274">G246&amp;"-"&amp;"DE"</f>
        <v>1TS7/8U-DE</v>
      </c>
      <c r="M246" s="91" t="str">
        <f t="shared" ref="M246" si="275">"RTD-0"&amp;B225&amp;" VTP-0"&amp;B225&amp;" Bearing Temperature Drive End"</f>
        <v>RTD-07 VTP-07 Bearing Temperature Drive End</v>
      </c>
      <c r="N246" s="88"/>
    </row>
    <row r="247" spans="2:14" ht="30" customHeight="1" x14ac:dyDescent="0.45">
      <c r="B247" s="87"/>
      <c r="C247" s="88"/>
      <c r="D247" s="89"/>
      <c r="E247" s="88"/>
      <c r="F247" s="88"/>
      <c r="G247" s="65" t="str">
        <f t="shared" ref="G247" si="276">"1TS"&amp;B225&amp;"/"&amp;LEFT(E246,1)&amp;"M"</f>
        <v>1TS7/8M</v>
      </c>
      <c r="H247" s="65" t="str">
        <f t="shared" si="228"/>
        <v>1TS7/8M-*-*/1TS7/8M-DE</v>
      </c>
      <c r="I247" s="65" t="s">
        <v>33</v>
      </c>
      <c r="J247" s="65" t="s">
        <v>33</v>
      </c>
      <c r="K247" s="65" t="str">
        <f t="shared" si="229"/>
        <v>1TS7/8M-DE/*-*-1TS7/8M</v>
      </c>
      <c r="L247" s="64" t="str">
        <f t="shared" si="274"/>
        <v>1TS7/8M-DE</v>
      </c>
      <c r="M247" s="91"/>
      <c r="N247" s="88"/>
    </row>
    <row r="248" spans="2:14" ht="30" customHeight="1" x14ac:dyDescent="0.45">
      <c r="B248" s="87"/>
      <c r="C248" s="88"/>
      <c r="D248" s="89"/>
      <c r="E248" s="88"/>
      <c r="F248" s="88"/>
      <c r="G248" s="65" t="str">
        <f t="shared" ref="G248" si="277">"1TS"&amp;B225&amp;"/"&amp;LEFT(E246,1)&amp;"L"</f>
        <v>1TS7/8L</v>
      </c>
      <c r="H248" s="65" t="str">
        <f t="shared" si="228"/>
        <v>1TS7/8L-*-*/1TS7/8L-DE</v>
      </c>
      <c r="I248" s="65" t="s">
        <v>33</v>
      </c>
      <c r="J248" s="65" t="s">
        <v>33</v>
      </c>
      <c r="K248" s="65" t="str">
        <f t="shared" si="229"/>
        <v>1TS7/8L-DE/*-*-1TS7/8L</v>
      </c>
      <c r="L248" s="64" t="str">
        <f t="shared" si="274"/>
        <v>1TS7/8L-DE</v>
      </c>
      <c r="M248" s="91"/>
      <c r="N248" s="88"/>
    </row>
    <row r="249" spans="2:14" ht="30" customHeight="1" x14ac:dyDescent="0.45">
      <c r="B249" s="87"/>
      <c r="C249" s="88"/>
      <c r="D249" s="89"/>
      <c r="E249" s="88" t="s">
        <v>339</v>
      </c>
      <c r="F249" s="88" t="s">
        <v>45</v>
      </c>
      <c r="G249" s="65" t="s">
        <v>45</v>
      </c>
      <c r="H249" s="65" t="s">
        <v>45</v>
      </c>
      <c r="I249" s="65" t="s">
        <v>45</v>
      </c>
      <c r="J249" s="65" t="s">
        <v>45</v>
      </c>
      <c r="K249" s="65" t="s">
        <v>45</v>
      </c>
      <c r="L249" s="69" t="s">
        <v>45</v>
      </c>
      <c r="M249" s="90" t="s">
        <v>34</v>
      </c>
      <c r="N249" s="88"/>
    </row>
    <row r="250" spans="2:14" ht="30" customHeight="1" x14ac:dyDescent="0.45">
      <c r="B250" s="87"/>
      <c r="C250" s="88"/>
      <c r="D250" s="89"/>
      <c r="E250" s="88"/>
      <c r="F250" s="88"/>
      <c r="G250" s="65" t="s">
        <v>45</v>
      </c>
      <c r="H250" s="65" t="s">
        <v>45</v>
      </c>
      <c r="I250" s="65" t="s">
        <v>45</v>
      </c>
      <c r="J250" s="65" t="s">
        <v>45</v>
      </c>
      <c r="K250" s="65" t="s">
        <v>45</v>
      </c>
      <c r="L250" s="69" t="s">
        <v>45</v>
      </c>
      <c r="M250" s="90"/>
      <c r="N250" s="88"/>
    </row>
    <row r="251" spans="2:14" ht="30" customHeight="1" x14ac:dyDescent="0.45">
      <c r="B251" s="87"/>
      <c r="C251" s="88"/>
      <c r="D251" s="89"/>
      <c r="E251" s="88"/>
      <c r="F251" s="88"/>
      <c r="G251" s="65" t="s">
        <v>45</v>
      </c>
      <c r="H251" s="65" t="s">
        <v>45</v>
      </c>
      <c r="I251" s="65" t="s">
        <v>45</v>
      </c>
      <c r="J251" s="65" t="s">
        <v>45</v>
      </c>
      <c r="K251" s="65" t="s">
        <v>45</v>
      </c>
      <c r="L251" s="69" t="s">
        <v>45</v>
      </c>
      <c r="M251" s="90"/>
      <c r="N251" s="88"/>
    </row>
    <row r="252" spans="2:14" ht="30" customHeight="1" x14ac:dyDescent="0.45">
      <c r="B252" s="87"/>
      <c r="C252" s="88"/>
      <c r="D252" s="89"/>
      <c r="E252" s="88" t="s">
        <v>340</v>
      </c>
      <c r="F252" s="88" t="s">
        <v>45</v>
      </c>
      <c r="G252" s="65" t="s">
        <v>45</v>
      </c>
      <c r="H252" s="65" t="s">
        <v>45</v>
      </c>
      <c r="I252" s="65" t="s">
        <v>45</v>
      </c>
      <c r="J252" s="65" t="s">
        <v>45</v>
      </c>
      <c r="K252" s="65" t="s">
        <v>45</v>
      </c>
      <c r="L252" s="69" t="s">
        <v>45</v>
      </c>
      <c r="M252" s="90" t="s">
        <v>34</v>
      </c>
      <c r="N252" s="88"/>
    </row>
    <row r="253" spans="2:14" ht="30" customHeight="1" x14ac:dyDescent="0.45">
      <c r="B253" s="87"/>
      <c r="C253" s="88"/>
      <c r="D253" s="89"/>
      <c r="E253" s="88"/>
      <c r="F253" s="88"/>
      <c r="G253" s="65" t="s">
        <v>45</v>
      </c>
      <c r="H253" s="65" t="s">
        <v>45</v>
      </c>
      <c r="I253" s="65" t="s">
        <v>45</v>
      </c>
      <c r="J253" s="65" t="s">
        <v>45</v>
      </c>
      <c r="K253" s="65" t="s">
        <v>45</v>
      </c>
      <c r="L253" s="69" t="s">
        <v>45</v>
      </c>
      <c r="M253" s="90"/>
      <c r="N253" s="88"/>
    </row>
    <row r="254" spans="2:14" ht="30" customHeight="1" x14ac:dyDescent="0.45">
      <c r="B254" s="87"/>
      <c r="C254" s="88"/>
      <c r="D254" s="89"/>
      <c r="E254" s="88"/>
      <c r="F254" s="88"/>
      <c r="G254" s="65" t="s">
        <v>45</v>
      </c>
      <c r="H254" s="65" t="s">
        <v>45</v>
      </c>
      <c r="I254" s="65" t="s">
        <v>45</v>
      </c>
      <c r="J254" s="65" t="s">
        <v>45</v>
      </c>
      <c r="K254" s="65" t="s">
        <v>45</v>
      </c>
      <c r="L254" s="69" t="s">
        <v>45</v>
      </c>
      <c r="M254" s="90"/>
      <c r="N254" s="88"/>
    </row>
    <row r="255" spans="2:14" ht="30" customHeight="1" x14ac:dyDescent="0.45">
      <c r="B255" s="87"/>
      <c r="C255" s="88"/>
      <c r="D255" s="89"/>
      <c r="E255" s="88" t="s">
        <v>341</v>
      </c>
      <c r="F255" s="88" t="s">
        <v>45</v>
      </c>
      <c r="G255" s="65" t="s">
        <v>45</v>
      </c>
      <c r="H255" s="65" t="s">
        <v>45</v>
      </c>
      <c r="I255" s="65" t="s">
        <v>45</v>
      </c>
      <c r="J255" s="65" t="s">
        <v>45</v>
      </c>
      <c r="K255" s="65" t="s">
        <v>45</v>
      </c>
      <c r="L255" s="69" t="s">
        <v>45</v>
      </c>
      <c r="M255" s="90" t="s">
        <v>34</v>
      </c>
      <c r="N255" s="88"/>
    </row>
    <row r="256" spans="2:14" ht="30" customHeight="1" x14ac:dyDescent="0.45">
      <c r="B256" s="87"/>
      <c r="C256" s="88"/>
      <c r="D256" s="89"/>
      <c r="E256" s="88"/>
      <c r="F256" s="88"/>
      <c r="G256" s="65" t="s">
        <v>45</v>
      </c>
      <c r="H256" s="65" t="s">
        <v>45</v>
      </c>
      <c r="I256" s="65" t="s">
        <v>45</v>
      </c>
      <c r="J256" s="65" t="s">
        <v>45</v>
      </c>
      <c r="K256" s="65" t="s">
        <v>45</v>
      </c>
      <c r="L256" s="69" t="s">
        <v>45</v>
      </c>
      <c r="M256" s="90"/>
      <c r="N256" s="88"/>
    </row>
    <row r="257" spans="2:14" ht="30" customHeight="1" x14ac:dyDescent="0.45">
      <c r="B257" s="87"/>
      <c r="C257" s="88"/>
      <c r="D257" s="89"/>
      <c r="E257" s="88"/>
      <c r="F257" s="88"/>
      <c r="G257" s="65" t="s">
        <v>45</v>
      </c>
      <c r="H257" s="65" t="s">
        <v>45</v>
      </c>
      <c r="I257" s="65" t="s">
        <v>45</v>
      </c>
      <c r="J257" s="65" t="s">
        <v>45</v>
      </c>
      <c r="K257" s="65" t="s">
        <v>45</v>
      </c>
      <c r="L257" s="69" t="s">
        <v>45</v>
      </c>
      <c r="M257" s="90"/>
      <c r="N257" s="88"/>
    </row>
    <row r="258" spans="2:14" ht="30" customHeight="1" x14ac:dyDescent="0.45">
      <c r="B258" s="87"/>
      <c r="C258" s="88"/>
      <c r="D258" s="89"/>
      <c r="E258" s="88" t="s">
        <v>342</v>
      </c>
      <c r="F258" s="88" t="s">
        <v>45</v>
      </c>
      <c r="G258" s="65" t="s">
        <v>45</v>
      </c>
      <c r="H258" s="65" t="s">
        <v>45</v>
      </c>
      <c r="I258" s="65" t="s">
        <v>45</v>
      </c>
      <c r="J258" s="65" t="s">
        <v>45</v>
      </c>
      <c r="K258" s="65" t="s">
        <v>45</v>
      </c>
      <c r="L258" s="69" t="s">
        <v>45</v>
      </c>
      <c r="M258" s="90" t="s">
        <v>34</v>
      </c>
      <c r="N258" s="88"/>
    </row>
    <row r="259" spans="2:14" ht="30" customHeight="1" x14ac:dyDescent="0.45">
      <c r="B259" s="87"/>
      <c r="C259" s="88"/>
      <c r="D259" s="89"/>
      <c r="E259" s="88"/>
      <c r="F259" s="88"/>
      <c r="G259" s="65" t="s">
        <v>45</v>
      </c>
      <c r="H259" s="65" t="s">
        <v>45</v>
      </c>
      <c r="I259" s="65" t="s">
        <v>45</v>
      </c>
      <c r="J259" s="65" t="s">
        <v>45</v>
      </c>
      <c r="K259" s="65" t="s">
        <v>45</v>
      </c>
      <c r="L259" s="69" t="s">
        <v>45</v>
      </c>
      <c r="M259" s="90"/>
      <c r="N259" s="88"/>
    </row>
    <row r="260" spans="2:14" ht="30" customHeight="1" x14ac:dyDescent="0.45">
      <c r="B260" s="87"/>
      <c r="C260" s="88"/>
      <c r="D260" s="89"/>
      <c r="E260" s="88"/>
      <c r="F260" s="88"/>
      <c r="G260" s="65" t="s">
        <v>45</v>
      </c>
      <c r="H260" s="65" t="s">
        <v>45</v>
      </c>
      <c r="I260" s="65" t="s">
        <v>45</v>
      </c>
      <c r="J260" s="65" t="s">
        <v>45</v>
      </c>
      <c r="K260" s="65" t="s">
        <v>45</v>
      </c>
      <c r="L260" s="69" t="s">
        <v>45</v>
      </c>
      <c r="M260" s="90"/>
      <c r="N260" s="88"/>
    </row>
    <row r="261" spans="2:14" ht="30" customHeight="1" x14ac:dyDescent="0.45">
      <c r="B261" s="87">
        <f t="shared" ref="B261" si="278">B225+1</f>
        <v>8</v>
      </c>
      <c r="C261" s="88" t="str">
        <f t="shared" ref="C261" si="279">"TS-0"&amp;B261</f>
        <v>TS-08</v>
      </c>
      <c r="D261" s="89" t="s">
        <v>379</v>
      </c>
      <c r="E261" s="88" t="s">
        <v>331</v>
      </c>
      <c r="F261" s="88" t="s">
        <v>404</v>
      </c>
      <c r="G261" s="65" t="str">
        <f t="shared" ref="G261" si="280">"1TS"&amp;B261&amp;"/"&amp;LEFT(E261,1)&amp;"U"</f>
        <v>1TS8/1U</v>
      </c>
      <c r="H261" s="65" t="str">
        <f>_xlfn.CONCAT(G261,"-",J261,"-",I261,"/",L261)</f>
        <v>1TS8/1U-*-*/1TS8/1U-R1</v>
      </c>
      <c r="I261" s="65" t="s">
        <v>33</v>
      </c>
      <c r="J261" s="65" t="s">
        <v>33</v>
      </c>
      <c r="K261" s="65" t="str">
        <f>_xlfn.CONCAT(L261,"/",J261,"-",I261,"-",G261)</f>
        <v>1TS8/1U-R1/*-*-1TS8/1U</v>
      </c>
      <c r="L261" s="64" t="str">
        <f t="shared" ref="L261" si="281">G261&amp;"-"&amp;RIGHT(M261,2)</f>
        <v>1TS8/1U-R1</v>
      </c>
      <c r="M261" s="91" t="str">
        <f t="shared" ref="M261" si="282">"RTD-0"&amp;B261&amp;" VTP-0"&amp;B261&amp;" Winding Temperature R1"</f>
        <v>RTD-08 VTP-08 Winding Temperature R1</v>
      </c>
      <c r="N261" s="88"/>
    </row>
    <row r="262" spans="2:14" ht="30" customHeight="1" x14ac:dyDescent="0.45">
      <c r="B262" s="87"/>
      <c r="C262" s="88"/>
      <c r="D262" s="89"/>
      <c r="E262" s="88"/>
      <c r="F262" s="88"/>
      <c r="G262" s="65" t="str">
        <f t="shared" ref="G262" si="283">"1TS"&amp;B261&amp;"/"&amp;LEFT(E261,1)&amp;"M"</f>
        <v>1TS8/1M</v>
      </c>
      <c r="H262" s="65" t="str">
        <f t="shared" ref="H262:H284" si="284">_xlfn.CONCAT(G262,"-",J262,"-",I262,"/",L262)</f>
        <v>1TS8/1M-*-*/1TS8/1M-R1</v>
      </c>
      <c r="I262" s="65" t="s">
        <v>33</v>
      </c>
      <c r="J262" s="65" t="s">
        <v>33</v>
      </c>
      <c r="K262" s="65" t="str">
        <f t="shared" ref="K262:K284" si="285">_xlfn.CONCAT(L262,"/",J262,"-",I262,"-",G262)</f>
        <v>1TS8/1M-R1/*-*-1TS8/1M</v>
      </c>
      <c r="L262" s="64" t="str">
        <f t="shared" ref="L262" si="286">G262&amp;"-"&amp;RIGHT(M261,2)</f>
        <v>1TS8/1M-R1</v>
      </c>
      <c r="M262" s="91"/>
      <c r="N262" s="88"/>
    </row>
    <row r="263" spans="2:14" ht="30" customHeight="1" x14ac:dyDescent="0.45">
      <c r="B263" s="87"/>
      <c r="C263" s="88"/>
      <c r="D263" s="89"/>
      <c r="E263" s="88"/>
      <c r="F263" s="88"/>
      <c r="G263" s="65" t="str">
        <f t="shared" ref="G263" si="287">"1TS"&amp;B261&amp;"/"&amp;LEFT(E261,1)&amp;"L"</f>
        <v>1TS8/1L</v>
      </c>
      <c r="H263" s="65" t="str">
        <f t="shared" si="284"/>
        <v>1TS8/1L-*-*/1TS8/1L-R1</v>
      </c>
      <c r="I263" s="65" t="s">
        <v>33</v>
      </c>
      <c r="J263" s="65" t="s">
        <v>33</v>
      </c>
      <c r="K263" s="65" t="str">
        <f t="shared" si="285"/>
        <v>1TS8/1L-R1/*-*-1TS8/1L</v>
      </c>
      <c r="L263" s="64" t="str">
        <f t="shared" ref="L263" si="288">G263&amp;"-"&amp;RIGHT(M261,2)</f>
        <v>1TS8/1L-R1</v>
      </c>
      <c r="M263" s="91"/>
      <c r="N263" s="88"/>
    </row>
    <row r="264" spans="2:14" ht="30" customHeight="1" x14ac:dyDescent="0.45">
      <c r="B264" s="87"/>
      <c r="C264" s="88"/>
      <c r="D264" s="89"/>
      <c r="E264" s="88" t="s">
        <v>332</v>
      </c>
      <c r="F264" s="88" t="s">
        <v>405</v>
      </c>
      <c r="G264" s="65" t="str">
        <f t="shared" ref="G264" si="289">"1TS"&amp;B261&amp;"/"&amp;LEFT(E264,1)&amp;"U"</f>
        <v>1TS8/2U</v>
      </c>
      <c r="H264" s="65" t="str">
        <f t="shared" si="284"/>
        <v>1TS8/2U-*-*/1TS8/2U-Y1</v>
      </c>
      <c r="I264" s="65" t="s">
        <v>33</v>
      </c>
      <c r="J264" s="65" t="s">
        <v>33</v>
      </c>
      <c r="K264" s="65" t="str">
        <f t="shared" si="285"/>
        <v>1TS8/2U-Y1/*-*-1TS8/2U</v>
      </c>
      <c r="L264" s="64" t="str">
        <f t="shared" ref="L264" si="290">G264&amp;"-"&amp;RIGHT(M264,2)</f>
        <v>1TS8/2U-Y1</v>
      </c>
      <c r="M264" s="91" t="str">
        <f t="shared" ref="M264" si="291">"RTD-0"&amp;B261&amp;" VTP-0"&amp;B261&amp;" Winding Temperature Y1"</f>
        <v>RTD-08 VTP-08 Winding Temperature Y1</v>
      </c>
      <c r="N264" s="88"/>
    </row>
    <row r="265" spans="2:14" ht="30" customHeight="1" x14ac:dyDescent="0.45">
      <c r="B265" s="87"/>
      <c r="C265" s="88"/>
      <c r="D265" s="89"/>
      <c r="E265" s="88"/>
      <c r="F265" s="88"/>
      <c r="G265" s="65" t="str">
        <f t="shared" ref="G265" si="292">"1TS"&amp;B261&amp;"/"&amp;LEFT(E264,1)&amp;"M"</f>
        <v>1TS8/2M</v>
      </c>
      <c r="H265" s="65" t="str">
        <f t="shared" si="284"/>
        <v>1TS8/2M-*-*/1TS8/2M-Y1</v>
      </c>
      <c r="I265" s="65" t="s">
        <v>33</v>
      </c>
      <c r="J265" s="65" t="s">
        <v>33</v>
      </c>
      <c r="K265" s="65" t="str">
        <f t="shared" si="285"/>
        <v>1TS8/2M-Y1/*-*-1TS8/2M</v>
      </c>
      <c r="L265" s="64" t="str">
        <f t="shared" ref="L265" si="293">G265&amp;"-"&amp;RIGHT(M264,2)</f>
        <v>1TS8/2M-Y1</v>
      </c>
      <c r="M265" s="91"/>
      <c r="N265" s="88"/>
    </row>
    <row r="266" spans="2:14" ht="30" customHeight="1" x14ac:dyDescent="0.45">
      <c r="B266" s="87"/>
      <c r="C266" s="88"/>
      <c r="D266" s="89"/>
      <c r="E266" s="88"/>
      <c r="F266" s="88"/>
      <c r="G266" s="65" t="str">
        <f t="shared" ref="G266" si="294">"1TS"&amp;B261&amp;"/"&amp;LEFT(E264,1)&amp;"L"</f>
        <v>1TS8/2L</v>
      </c>
      <c r="H266" s="65" t="str">
        <f t="shared" si="284"/>
        <v>1TS8/2L-*-*/1TS8/2L-Y1</v>
      </c>
      <c r="I266" s="65" t="s">
        <v>33</v>
      </c>
      <c r="J266" s="65" t="s">
        <v>33</v>
      </c>
      <c r="K266" s="65" t="str">
        <f t="shared" si="285"/>
        <v>1TS8/2L-Y1/*-*-1TS8/2L</v>
      </c>
      <c r="L266" s="64" t="str">
        <f t="shared" ref="L266" si="295">G266&amp;"-"&amp;RIGHT(M264,2)</f>
        <v>1TS8/2L-Y1</v>
      </c>
      <c r="M266" s="91"/>
      <c r="N266" s="88"/>
    </row>
    <row r="267" spans="2:14" ht="30" customHeight="1" x14ac:dyDescent="0.45">
      <c r="B267" s="87"/>
      <c r="C267" s="88"/>
      <c r="D267" s="89"/>
      <c r="E267" s="88" t="s">
        <v>333</v>
      </c>
      <c r="F267" s="88" t="s">
        <v>406</v>
      </c>
      <c r="G267" s="65" t="str">
        <f t="shared" ref="G267" si="296">"1TS"&amp;B261&amp;"/"&amp;LEFT(E267,1)&amp;"U"</f>
        <v>1TS8/3U</v>
      </c>
      <c r="H267" s="65" t="str">
        <f t="shared" si="284"/>
        <v>1TS8/3U-*-*/1TS8/3U-B1</v>
      </c>
      <c r="I267" s="65" t="s">
        <v>33</v>
      </c>
      <c r="J267" s="65" t="s">
        <v>33</v>
      </c>
      <c r="K267" s="65" t="str">
        <f t="shared" si="285"/>
        <v>1TS8/3U-B1/*-*-1TS8/3U</v>
      </c>
      <c r="L267" s="64" t="str">
        <f t="shared" ref="L267" si="297">G267&amp;"-"&amp;RIGHT(M267,2)</f>
        <v>1TS8/3U-B1</v>
      </c>
      <c r="M267" s="91" t="str">
        <f t="shared" ref="M267" si="298">"RTD-0"&amp;B261&amp;" VTP-0"&amp;B261&amp;" Winding Temperature B1"</f>
        <v>RTD-08 VTP-08 Winding Temperature B1</v>
      </c>
      <c r="N267" s="88"/>
    </row>
    <row r="268" spans="2:14" ht="30" customHeight="1" x14ac:dyDescent="0.45">
      <c r="B268" s="87"/>
      <c r="C268" s="88"/>
      <c r="D268" s="89"/>
      <c r="E268" s="88"/>
      <c r="F268" s="88"/>
      <c r="G268" s="65" t="str">
        <f t="shared" ref="G268" si="299">"1TS"&amp;B261&amp;"/"&amp;LEFT(E267,1)&amp;"M"</f>
        <v>1TS8/3M</v>
      </c>
      <c r="H268" s="65" t="str">
        <f t="shared" si="284"/>
        <v>1TS8/3M-*-*/1TS8/3M-B1</v>
      </c>
      <c r="I268" s="65" t="s">
        <v>33</v>
      </c>
      <c r="J268" s="65" t="s">
        <v>33</v>
      </c>
      <c r="K268" s="65" t="str">
        <f t="shared" si="285"/>
        <v>1TS8/3M-B1/*-*-1TS8/3M</v>
      </c>
      <c r="L268" s="64" t="str">
        <f t="shared" ref="L268" si="300">G268&amp;"-"&amp;RIGHT(M267,2)</f>
        <v>1TS8/3M-B1</v>
      </c>
      <c r="M268" s="91"/>
      <c r="N268" s="88"/>
    </row>
    <row r="269" spans="2:14" ht="30" customHeight="1" x14ac:dyDescent="0.45">
      <c r="B269" s="87"/>
      <c r="C269" s="88"/>
      <c r="D269" s="89"/>
      <c r="E269" s="88"/>
      <c r="F269" s="88"/>
      <c r="G269" s="65" t="str">
        <f t="shared" ref="G269" si="301">"1TS"&amp;B261&amp;"/"&amp;LEFT(E267,1)&amp;"L"</f>
        <v>1TS8/3L</v>
      </c>
      <c r="H269" s="65" t="str">
        <f t="shared" si="284"/>
        <v>1TS8/3L-*-*/1TS8/3L-B1</v>
      </c>
      <c r="I269" s="65" t="s">
        <v>33</v>
      </c>
      <c r="J269" s="65" t="s">
        <v>33</v>
      </c>
      <c r="K269" s="65" t="str">
        <f t="shared" si="285"/>
        <v>1TS8/3L-B1/*-*-1TS8/3L</v>
      </c>
      <c r="L269" s="64" t="str">
        <f t="shared" ref="L269" si="302">G269&amp;"-"&amp;RIGHT(M267,2)</f>
        <v>1TS8/3L-B1</v>
      </c>
      <c r="M269" s="91"/>
      <c r="N269" s="88"/>
    </row>
    <row r="270" spans="2:14" ht="30" customHeight="1" x14ac:dyDescent="0.45">
      <c r="B270" s="87"/>
      <c r="C270" s="88"/>
      <c r="D270" s="89"/>
      <c r="E270" s="88" t="s">
        <v>334</v>
      </c>
      <c r="F270" s="88" t="s">
        <v>407</v>
      </c>
      <c r="G270" s="65" t="str">
        <f t="shared" ref="G270" si="303">"1TS"&amp;B261&amp;"/"&amp;LEFT(E270,1)&amp;"U"</f>
        <v>1TS8/4U</v>
      </c>
      <c r="H270" s="65" t="str">
        <f t="shared" si="284"/>
        <v>1TS8/4U-*-*/1TS8/4U-R2</v>
      </c>
      <c r="I270" s="65" t="s">
        <v>33</v>
      </c>
      <c r="J270" s="65" t="s">
        <v>33</v>
      </c>
      <c r="K270" s="65" t="str">
        <f t="shared" si="285"/>
        <v>1TS8/4U-R2/*-*-1TS8/4U</v>
      </c>
      <c r="L270" s="64" t="str">
        <f t="shared" ref="L270" si="304">G270&amp;"-"&amp;RIGHT(M270,2)</f>
        <v>1TS8/4U-R2</v>
      </c>
      <c r="M270" s="91" t="str">
        <f t="shared" ref="M270" si="305">"RTD-0"&amp;B261&amp;" VTP-0"&amp;B261&amp;" Winding Temperature R2"</f>
        <v>RTD-08 VTP-08 Winding Temperature R2</v>
      </c>
      <c r="N270" s="88"/>
    </row>
    <row r="271" spans="2:14" ht="30" customHeight="1" x14ac:dyDescent="0.45">
      <c r="B271" s="87"/>
      <c r="C271" s="88"/>
      <c r="D271" s="89"/>
      <c r="E271" s="88"/>
      <c r="F271" s="88"/>
      <c r="G271" s="65" t="str">
        <f t="shared" ref="G271" si="306">"1TS"&amp;B261&amp;"/"&amp;LEFT(E270,1)&amp;"M"</f>
        <v>1TS8/4M</v>
      </c>
      <c r="H271" s="65" t="str">
        <f t="shared" si="284"/>
        <v>1TS8/4M-*-*/1TS8/4M-R2</v>
      </c>
      <c r="I271" s="65" t="s">
        <v>33</v>
      </c>
      <c r="J271" s="65" t="s">
        <v>33</v>
      </c>
      <c r="K271" s="65" t="str">
        <f t="shared" si="285"/>
        <v>1TS8/4M-R2/*-*-1TS8/4M</v>
      </c>
      <c r="L271" s="64" t="str">
        <f t="shared" ref="L271" si="307">G271&amp;"-"&amp;RIGHT(M270,2)</f>
        <v>1TS8/4M-R2</v>
      </c>
      <c r="M271" s="91"/>
      <c r="N271" s="88"/>
    </row>
    <row r="272" spans="2:14" ht="30" customHeight="1" x14ac:dyDescent="0.45">
      <c r="B272" s="87"/>
      <c r="C272" s="88"/>
      <c r="D272" s="89"/>
      <c r="E272" s="88"/>
      <c r="F272" s="88"/>
      <c r="G272" s="65" t="str">
        <f t="shared" ref="G272" si="308">"1TS"&amp;B261&amp;"/"&amp;LEFT(E270,1)&amp;"L"</f>
        <v>1TS8/4L</v>
      </c>
      <c r="H272" s="65" t="str">
        <f t="shared" si="284"/>
        <v>1TS8/4L-*-*/1TS8/4L-R2</v>
      </c>
      <c r="I272" s="65" t="s">
        <v>33</v>
      </c>
      <c r="J272" s="65" t="s">
        <v>33</v>
      </c>
      <c r="K272" s="65" t="str">
        <f t="shared" si="285"/>
        <v>1TS8/4L-R2/*-*-1TS8/4L</v>
      </c>
      <c r="L272" s="64" t="str">
        <f t="shared" ref="L272" si="309">G272&amp;"-"&amp;RIGHT(M270,2)</f>
        <v>1TS8/4L-R2</v>
      </c>
      <c r="M272" s="91"/>
      <c r="N272" s="88"/>
    </row>
    <row r="273" spans="2:14" ht="30" customHeight="1" x14ac:dyDescent="0.45">
      <c r="B273" s="87"/>
      <c r="C273" s="88"/>
      <c r="D273" s="89"/>
      <c r="E273" s="88" t="s">
        <v>335</v>
      </c>
      <c r="F273" s="88" t="s">
        <v>408</v>
      </c>
      <c r="G273" s="65" t="str">
        <f t="shared" ref="G273" si="310">"1TS"&amp;B261&amp;"/"&amp;LEFT(E273,1)&amp;"U"</f>
        <v>1TS8/5U</v>
      </c>
      <c r="H273" s="65" t="str">
        <f t="shared" si="284"/>
        <v>1TS8/5U-*-*/1TS8/5U-Y2</v>
      </c>
      <c r="I273" s="65" t="s">
        <v>33</v>
      </c>
      <c r="J273" s="65" t="s">
        <v>33</v>
      </c>
      <c r="K273" s="65" t="str">
        <f t="shared" si="285"/>
        <v>1TS8/5U-Y2/*-*-1TS8/5U</v>
      </c>
      <c r="L273" s="64" t="str">
        <f t="shared" ref="L273" si="311">G273&amp;"-"&amp;RIGHT(M273,2)</f>
        <v>1TS8/5U-Y2</v>
      </c>
      <c r="M273" s="91" t="str">
        <f t="shared" ref="M273" si="312">"RTD-0"&amp;B261&amp;" VTP-0"&amp;B261&amp;" Winding Temperature Y2"</f>
        <v>RTD-08 VTP-08 Winding Temperature Y2</v>
      </c>
      <c r="N273" s="88"/>
    </row>
    <row r="274" spans="2:14" ht="30" customHeight="1" x14ac:dyDescent="0.45">
      <c r="B274" s="87"/>
      <c r="C274" s="88"/>
      <c r="D274" s="89"/>
      <c r="E274" s="88"/>
      <c r="F274" s="88"/>
      <c r="G274" s="65" t="str">
        <f t="shared" ref="G274" si="313">"1TS"&amp;B261&amp;"/"&amp;LEFT(E273,1)&amp;"M"</f>
        <v>1TS8/5M</v>
      </c>
      <c r="H274" s="65" t="str">
        <f t="shared" si="284"/>
        <v>1TS8/5M-*-*/1TS8/5M-Y2</v>
      </c>
      <c r="I274" s="65" t="s">
        <v>33</v>
      </c>
      <c r="J274" s="65" t="s">
        <v>33</v>
      </c>
      <c r="K274" s="65" t="str">
        <f t="shared" si="285"/>
        <v>1TS8/5M-Y2/*-*-1TS8/5M</v>
      </c>
      <c r="L274" s="64" t="str">
        <f t="shared" ref="L274" si="314">G274&amp;"-"&amp;RIGHT(M273,2)</f>
        <v>1TS8/5M-Y2</v>
      </c>
      <c r="M274" s="91"/>
      <c r="N274" s="88"/>
    </row>
    <row r="275" spans="2:14" ht="30" customHeight="1" x14ac:dyDescent="0.45">
      <c r="B275" s="87"/>
      <c r="C275" s="88"/>
      <c r="D275" s="89"/>
      <c r="E275" s="88"/>
      <c r="F275" s="88"/>
      <c r="G275" s="65" t="str">
        <f t="shared" ref="G275" si="315">"1TS"&amp;B261&amp;"/"&amp;LEFT(E273,1)&amp;"L"</f>
        <v>1TS8/5L</v>
      </c>
      <c r="H275" s="65" t="str">
        <f t="shared" si="284"/>
        <v>1TS8/5L-*-*/1TS8/5L-Y2</v>
      </c>
      <c r="I275" s="65" t="s">
        <v>33</v>
      </c>
      <c r="J275" s="65" t="s">
        <v>33</v>
      </c>
      <c r="K275" s="65" t="str">
        <f t="shared" si="285"/>
        <v>1TS8/5L-Y2/*-*-1TS8/5L</v>
      </c>
      <c r="L275" s="64" t="str">
        <f t="shared" ref="L275" si="316">G275&amp;"-"&amp;RIGHT(M273,2)</f>
        <v>1TS8/5L-Y2</v>
      </c>
      <c r="M275" s="91"/>
      <c r="N275" s="88"/>
    </row>
    <row r="276" spans="2:14" ht="30" customHeight="1" x14ac:dyDescent="0.45">
      <c r="B276" s="87"/>
      <c r="C276" s="88"/>
      <c r="D276" s="89"/>
      <c r="E276" s="88" t="s">
        <v>336</v>
      </c>
      <c r="F276" s="88" t="s">
        <v>409</v>
      </c>
      <c r="G276" s="65" t="str">
        <f t="shared" ref="G276" si="317">"1TS"&amp;B261&amp;"/"&amp;LEFT(E276,1)&amp;"U"</f>
        <v>1TS8/6U</v>
      </c>
      <c r="H276" s="65" t="str">
        <f t="shared" si="284"/>
        <v>1TS8/6U-*-*/1TS8/6U-B2</v>
      </c>
      <c r="I276" s="65" t="s">
        <v>33</v>
      </c>
      <c r="J276" s="65" t="s">
        <v>33</v>
      </c>
      <c r="K276" s="65" t="str">
        <f t="shared" si="285"/>
        <v>1TS8/6U-B2/*-*-1TS8/6U</v>
      </c>
      <c r="L276" s="64" t="str">
        <f t="shared" ref="L276" si="318">G276&amp;"-"&amp;RIGHT(M276,2)</f>
        <v>1TS8/6U-B2</v>
      </c>
      <c r="M276" s="91" t="str">
        <f t="shared" ref="M276" si="319">"RTD-0"&amp;B261&amp;" VTP-0"&amp;B261&amp;" Winding Temperature B2"</f>
        <v>RTD-08 VTP-08 Winding Temperature B2</v>
      </c>
      <c r="N276" s="88"/>
    </row>
    <row r="277" spans="2:14" ht="30" customHeight="1" x14ac:dyDescent="0.45">
      <c r="B277" s="87"/>
      <c r="C277" s="88"/>
      <c r="D277" s="89"/>
      <c r="E277" s="88"/>
      <c r="F277" s="88"/>
      <c r="G277" s="65" t="str">
        <f t="shared" ref="G277" si="320">"1TS"&amp;B261&amp;"/"&amp;LEFT(E276,1)&amp;"M"</f>
        <v>1TS8/6M</v>
      </c>
      <c r="H277" s="65" t="str">
        <f t="shared" si="284"/>
        <v>1TS8/6M-*-*/1TS8/6M-B2</v>
      </c>
      <c r="I277" s="65" t="s">
        <v>33</v>
      </c>
      <c r="J277" s="65" t="s">
        <v>33</v>
      </c>
      <c r="K277" s="65" t="str">
        <f t="shared" si="285"/>
        <v>1TS8/6M-B2/*-*-1TS8/6M</v>
      </c>
      <c r="L277" s="64" t="str">
        <f t="shared" ref="L277" si="321">G277&amp;"-"&amp;RIGHT(M276,2)</f>
        <v>1TS8/6M-B2</v>
      </c>
      <c r="M277" s="91"/>
      <c r="N277" s="88"/>
    </row>
    <row r="278" spans="2:14" ht="30" customHeight="1" x14ac:dyDescent="0.45">
      <c r="B278" s="87"/>
      <c r="C278" s="88"/>
      <c r="D278" s="89"/>
      <c r="E278" s="88"/>
      <c r="F278" s="88"/>
      <c r="G278" s="65" t="str">
        <f t="shared" ref="G278" si="322">"1TS"&amp;B261&amp;"/"&amp;LEFT(E276,1)&amp;"L"</f>
        <v>1TS8/6L</v>
      </c>
      <c r="H278" s="65" t="str">
        <f t="shared" si="284"/>
        <v>1TS8/6L-*-*/1TS8/6L-B2</v>
      </c>
      <c r="I278" s="65" t="s">
        <v>33</v>
      </c>
      <c r="J278" s="65" t="s">
        <v>33</v>
      </c>
      <c r="K278" s="65" t="str">
        <f t="shared" si="285"/>
        <v>1TS8/6L-B2/*-*-1TS8/6L</v>
      </c>
      <c r="L278" s="64" t="str">
        <f t="shared" ref="L278" si="323">G278&amp;"-"&amp;RIGHT(M276,2)</f>
        <v>1TS8/6L-B2</v>
      </c>
      <c r="M278" s="91"/>
      <c r="N278" s="88"/>
    </row>
    <row r="279" spans="2:14" ht="30" customHeight="1" x14ac:dyDescent="0.45">
      <c r="B279" s="87"/>
      <c r="C279" s="88"/>
      <c r="D279" s="89"/>
      <c r="E279" s="88" t="s">
        <v>337</v>
      </c>
      <c r="F279" s="88" t="s">
        <v>410</v>
      </c>
      <c r="G279" s="65" t="str">
        <f t="shared" ref="G279" si="324">"1TS"&amp;B261&amp;"/"&amp;LEFT(E279,1)&amp;"U"</f>
        <v>1TS8/7U</v>
      </c>
      <c r="H279" s="65" t="str">
        <f t="shared" si="284"/>
        <v>1TS8/7U-*-*/1TS8/7U-NDE</v>
      </c>
      <c r="I279" s="65" t="s">
        <v>33</v>
      </c>
      <c r="J279" s="65" t="s">
        <v>33</v>
      </c>
      <c r="K279" s="65" t="str">
        <f t="shared" si="285"/>
        <v>1TS8/7U-NDE/*-*-1TS8/7U</v>
      </c>
      <c r="L279" s="64" t="str">
        <f t="shared" ref="L279:L281" si="325">G279&amp;"-"&amp;"NDE"</f>
        <v>1TS8/7U-NDE</v>
      </c>
      <c r="M279" s="91" t="str">
        <f t="shared" ref="M279" si="326">"RTD-0"&amp;B261&amp;" VTP-0"&amp;B261&amp;" Bearing Temperature Non-Drive End"</f>
        <v>RTD-08 VTP-08 Bearing Temperature Non-Drive End</v>
      </c>
      <c r="N279" s="88"/>
    </row>
    <row r="280" spans="2:14" ht="30" customHeight="1" x14ac:dyDescent="0.45">
      <c r="B280" s="87"/>
      <c r="C280" s="88"/>
      <c r="D280" s="89"/>
      <c r="E280" s="88"/>
      <c r="F280" s="88"/>
      <c r="G280" s="65" t="str">
        <f t="shared" ref="G280" si="327">"1TS"&amp;B261&amp;"/"&amp;LEFT(E279,1)&amp;"M"</f>
        <v>1TS8/7M</v>
      </c>
      <c r="H280" s="65" t="str">
        <f t="shared" si="284"/>
        <v>1TS8/7M-*-*/1TS8/7M-NDE</v>
      </c>
      <c r="I280" s="65" t="s">
        <v>33</v>
      </c>
      <c r="J280" s="65" t="s">
        <v>33</v>
      </c>
      <c r="K280" s="65" t="str">
        <f t="shared" si="285"/>
        <v>1TS8/7M-NDE/*-*-1TS8/7M</v>
      </c>
      <c r="L280" s="64" t="str">
        <f t="shared" si="325"/>
        <v>1TS8/7M-NDE</v>
      </c>
      <c r="M280" s="91"/>
      <c r="N280" s="88"/>
    </row>
    <row r="281" spans="2:14" ht="30" customHeight="1" x14ac:dyDescent="0.45">
      <c r="B281" s="87"/>
      <c r="C281" s="88"/>
      <c r="D281" s="89"/>
      <c r="E281" s="88"/>
      <c r="F281" s="88"/>
      <c r="G281" s="65" t="str">
        <f t="shared" ref="G281" si="328">"1TS"&amp;B261&amp;"/"&amp;LEFT(E279,1)&amp;"L"</f>
        <v>1TS8/7L</v>
      </c>
      <c r="H281" s="65" t="str">
        <f t="shared" si="284"/>
        <v>1TS8/7L-*-*/1TS8/7L-NDE</v>
      </c>
      <c r="I281" s="65" t="s">
        <v>33</v>
      </c>
      <c r="J281" s="65" t="s">
        <v>33</v>
      </c>
      <c r="K281" s="65" t="str">
        <f t="shared" si="285"/>
        <v>1TS8/7L-NDE/*-*-1TS8/7L</v>
      </c>
      <c r="L281" s="64" t="str">
        <f t="shared" si="325"/>
        <v>1TS8/7L-NDE</v>
      </c>
      <c r="M281" s="91"/>
      <c r="N281" s="88"/>
    </row>
    <row r="282" spans="2:14" ht="30" customHeight="1" x14ac:dyDescent="0.45">
      <c r="B282" s="87"/>
      <c r="C282" s="88"/>
      <c r="D282" s="89"/>
      <c r="E282" s="88" t="s">
        <v>338</v>
      </c>
      <c r="F282" s="88" t="s">
        <v>411</v>
      </c>
      <c r="G282" s="65" t="str">
        <f t="shared" ref="G282" si="329">"1TS"&amp;B261&amp;"/"&amp;LEFT(E282,1)&amp;"U"</f>
        <v>1TS8/8U</v>
      </c>
      <c r="H282" s="65" t="str">
        <f t="shared" si="284"/>
        <v>1TS8/8U-*-*/1TS8/8U-DE</v>
      </c>
      <c r="I282" s="65" t="s">
        <v>33</v>
      </c>
      <c r="J282" s="65" t="s">
        <v>33</v>
      </c>
      <c r="K282" s="65" t="str">
        <f t="shared" si="285"/>
        <v>1TS8/8U-DE/*-*-1TS8/8U</v>
      </c>
      <c r="L282" s="64" t="str">
        <f t="shared" ref="L282:L284" si="330">G282&amp;"-"&amp;"DE"</f>
        <v>1TS8/8U-DE</v>
      </c>
      <c r="M282" s="91" t="str">
        <f t="shared" ref="M282" si="331">"RTD-0"&amp;B261&amp;" VTP-0"&amp;B261&amp;" Bearing Temperature Drive End"</f>
        <v>RTD-08 VTP-08 Bearing Temperature Drive End</v>
      </c>
      <c r="N282" s="88"/>
    </row>
    <row r="283" spans="2:14" ht="30" customHeight="1" x14ac:dyDescent="0.45">
      <c r="B283" s="87"/>
      <c r="C283" s="88"/>
      <c r="D283" s="89"/>
      <c r="E283" s="88"/>
      <c r="F283" s="88"/>
      <c r="G283" s="65" t="str">
        <f t="shared" ref="G283" si="332">"1TS"&amp;B261&amp;"/"&amp;LEFT(E282,1)&amp;"M"</f>
        <v>1TS8/8M</v>
      </c>
      <c r="H283" s="65" t="str">
        <f t="shared" si="284"/>
        <v>1TS8/8M-*-*/1TS8/8M-DE</v>
      </c>
      <c r="I283" s="65" t="s">
        <v>33</v>
      </c>
      <c r="J283" s="65" t="s">
        <v>33</v>
      </c>
      <c r="K283" s="65" t="str">
        <f t="shared" si="285"/>
        <v>1TS8/8M-DE/*-*-1TS8/8M</v>
      </c>
      <c r="L283" s="64" t="str">
        <f t="shared" si="330"/>
        <v>1TS8/8M-DE</v>
      </c>
      <c r="M283" s="91"/>
      <c r="N283" s="88"/>
    </row>
    <row r="284" spans="2:14" ht="30" customHeight="1" x14ac:dyDescent="0.45">
      <c r="B284" s="87"/>
      <c r="C284" s="88"/>
      <c r="D284" s="89"/>
      <c r="E284" s="88"/>
      <c r="F284" s="88"/>
      <c r="G284" s="65" t="str">
        <f t="shared" ref="G284" si="333">"1TS"&amp;B261&amp;"/"&amp;LEFT(E282,1)&amp;"L"</f>
        <v>1TS8/8L</v>
      </c>
      <c r="H284" s="65" t="str">
        <f t="shared" si="284"/>
        <v>1TS8/8L-*-*/1TS8/8L-DE</v>
      </c>
      <c r="I284" s="65" t="s">
        <v>33</v>
      </c>
      <c r="J284" s="65" t="s">
        <v>33</v>
      </c>
      <c r="K284" s="65" t="str">
        <f t="shared" si="285"/>
        <v>1TS8/8L-DE/*-*-1TS8/8L</v>
      </c>
      <c r="L284" s="64" t="str">
        <f t="shared" si="330"/>
        <v>1TS8/8L-DE</v>
      </c>
      <c r="M284" s="91"/>
      <c r="N284" s="88"/>
    </row>
    <row r="285" spans="2:14" ht="30" customHeight="1" x14ac:dyDescent="0.45">
      <c r="B285" s="87"/>
      <c r="C285" s="88"/>
      <c r="D285" s="89"/>
      <c r="E285" s="88" t="s">
        <v>339</v>
      </c>
      <c r="F285" s="88" t="s">
        <v>45</v>
      </c>
      <c r="G285" s="65" t="s">
        <v>45</v>
      </c>
      <c r="H285" s="65" t="s">
        <v>45</v>
      </c>
      <c r="I285" s="65" t="s">
        <v>45</v>
      </c>
      <c r="J285" s="65" t="s">
        <v>45</v>
      </c>
      <c r="K285" s="65" t="s">
        <v>45</v>
      </c>
      <c r="L285" s="69" t="s">
        <v>45</v>
      </c>
      <c r="M285" s="90" t="s">
        <v>34</v>
      </c>
      <c r="N285" s="88"/>
    </row>
    <row r="286" spans="2:14" ht="30" customHeight="1" x14ac:dyDescent="0.45">
      <c r="B286" s="87"/>
      <c r="C286" s="88"/>
      <c r="D286" s="89"/>
      <c r="E286" s="88"/>
      <c r="F286" s="88"/>
      <c r="G286" s="65" t="s">
        <v>45</v>
      </c>
      <c r="H286" s="65" t="s">
        <v>45</v>
      </c>
      <c r="I286" s="65" t="s">
        <v>45</v>
      </c>
      <c r="J286" s="65" t="s">
        <v>45</v>
      </c>
      <c r="K286" s="65" t="s">
        <v>45</v>
      </c>
      <c r="L286" s="69" t="s">
        <v>45</v>
      </c>
      <c r="M286" s="90"/>
      <c r="N286" s="88"/>
    </row>
    <row r="287" spans="2:14" ht="30" customHeight="1" x14ac:dyDescent="0.45">
      <c r="B287" s="87"/>
      <c r="C287" s="88"/>
      <c r="D287" s="89"/>
      <c r="E287" s="88"/>
      <c r="F287" s="88"/>
      <c r="G287" s="65" t="s">
        <v>45</v>
      </c>
      <c r="H287" s="65" t="s">
        <v>45</v>
      </c>
      <c r="I287" s="65" t="s">
        <v>45</v>
      </c>
      <c r="J287" s="65" t="s">
        <v>45</v>
      </c>
      <c r="K287" s="65" t="s">
        <v>45</v>
      </c>
      <c r="L287" s="69" t="s">
        <v>45</v>
      </c>
      <c r="M287" s="90"/>
      <c r="N287" s="88"/>
    </row>
    <row r="288" spans="2:14" ht="30" customHeight="1" x14ac:dyDescent="0.45">
      <c r="B288" s="87"/>
      <c r="C288" s="88"/>
      <c r="D288" s="89"/>
      <c r="E288" s="88" t="s">
        <v>340</v>
      </c>
      <c r="F288" s="88" t="s">
        <v>45</v>
      </c>
      <c r="G288" s="65" t="s">
        <v>45</v>
      </c>
      <c r="H288" s="65" t="s">
        <v>45</v>
      </c>
      <c r="I288" s="65" t="s">
        <v>45</v>
      </c>
      <c r="J288" s="65" t="s">
        <v>45</v>
      </c>
      <c r="K288" s="65" t="s">
        <v>45</v>
      </c>
      <c r="L288" s="69" t="s">
        <v>45</v>
      </c>
      <c r="M288" s="90" t="s">
        <v>34</v>
      </c>
      <c r="N288" s="88"/>
    </row>
    <row r="289" spans="2:14" ht="30" customHeight="1" x14ac:dyDescent="0.45">
      <c r="B289" s="87"/>
      <c r="C289" s="88"/>
      <c r="D289" s="89"/>
      <c r="E289" s="88"/>
      <c r="F289" s="88"/>
      <c r="G289" s="65" t="s">
        <v>45</v>
      </c>
      <c r="H289" s="65" t="s">
        <v>45</v>
      </c>
      <c r="I289" s="65" t="s">
        <v>45</v>
      </c>
      <c r="J289" s="65" t="s">
        <v>45</v>
      </c>
      <c r="K289" s="65" t="s">
        <v>45</v>
      </c>
      <c r="L289" s="69" t="s">
        <v>45</v>
      </c>
      <c r="M289" s="90"/>
      <c r="N289" s="88"/>
    </row>
    <row r="290" spans="2:14" ht="30" customHeight="1" x14ac:dyDescent="0.45">
      <c r="B290" s="87"/>
      <c r="C290" s="88"/>
      <c r="D290" s="89"/>
      <c r="E290" s="88"/>
      <c r="F290" s="88"/>
      <c r="G290" s="65" t="s">
        <v>45</v>
      </c>
      <c r="H290" s="65" t="s">
        <v>45</v>
      </c>
      <c r="I290" s="65" t="s">
        <v>45</v>
      </c>
      <c r="J290" s="65" t="s">
        <v>45</v>
      </c>
      <c r="K290" s="65" t="s">
        <v>45</v>
      </c>
      <c r="L290" s="69" t="s">
        <v>45</v>
      </c>
      <c r="M290" s="90"/>
      <c r="N290" s="88"/>
    </row>
    <row r="291" spans="2:14" ht="30" customHeight="1" x14ac:dyDescent="0.45">
      <c r="B291" s="87"/>
      <c r="C291" s="88"/>
      <c r="D291" s="89"/>
      <c r="E291" s="88" t="s">
        <v>341</v>
      </c>
      <c r="F291" s="88" t="s">
        <v>45</v>
      </c>
      <c r="G291" s="65" t="s">
        <v>45</v>
      </c>
      <c r="H291" s="65" t="s">
        <v>45</v>
      </c>
      <c r="I291" s="65" t="s">
        <v>45</v>
      </c>
      <c r="J291" s="65" t="s">
        <v>45</v>
      </c>
      <c r="K291" s="65" t="s">
        <v>45</v>
      </c>
      <c r="L291" s="69" t="s">
        <v>45</v>
      </c>
      <c r="M291" s="90" t="s">
        <v>34</v>
      </c>
      <c r="N291" s="88"/>
    </row>
    <row r="292" spans="2:14" ht="30" customHeight="1" x14ac:dyDescent="0.45">
      <c r="B292" s="87"/>
      <c r="C292" s="88"/>
      <c r="D292" s="89"/>
      <c r="E292" s="88"/>
      <c r="F292" s="88"/>
      <c r="G292" s="65" t="s">
        <v>45</v>
      </c>
      <c r="H292" s="65" t="s">
        <v>45</v>
      </c>
      <c r="I292" s="65" t="s">
        <v>45</v>
      </c>
      <c r="J292" s="65" t="s">
        <v>45</v>
      </c>
      <c r="K292" s="65" t="s">
        <v>45</v>
      </c>
      <c r="L292" s="69" t="s">
        <v>45</v>
      </c>
      <c r="M292" s="90"/>
      <c r="N292" s="88"/>
    </row>
    <row r="293" spans="2:14" ht="30" customHeight="1" x14ac:dyDescent="0.45">
      <c r="B293" s="87"/>
      <c r="C293" s="88"/>
      <c r="D293" s="89"/>
      <c r="E293" s="88"/>
      <c r="F293" s="88"/>
      <c r="G293" s="65" t="s">
        <v>45</v>
      </c>
      <c r="H293" s="65" t="s">
        <v>45</v>
      </c>
      <c r="I293" s="65" t="s">
        <v>45</v>
      </c>
      <c r="J293" s="65" t="s">
        <v>45</v>
      </c>
      <c r="K293" s="65" t="s">
        <v>45</v>
      </c>
      <c r="L293" s="69" t="s">
        <v>45</v>
      </c>
      <c r="M293" s="90"/>
      <c r="N293" s="88"/>
    </row>
    <row r="294" spans="2:14" ht="30" customHeight="1" x14ac:dyDescent="0.45">
      <c r="B294" s="87"/>
      <c r="C294" s="88"/>
      <c r="D294" s="89"/>
      <c r="E294" s="88" t="s">
        <v>342</v>
      </c>
      <c r="F294" s="88" t="s">
        <v>45</v>
      </c>
      <c r="G294" s="65" t="s">
        <v>45</v>
      </c>
      <c r="H294" s="65" t="s">
        <v>45</v>
      </c>
      <c r="I294" s="65" t="s">
        <v>45</v>
      </c>
      <c r="J294" s="65" t="s">
        <v>45</v>
      </c>
      <c r="K294" s="65" t="s">
        <v>45</v>
      </c>
      <c r="L294" s="69" t="s">
        <v>45</v>
      </c>
      <c r="M294" s="90" t="s">
        <v>34</v>
      </c>
      <c r="N294" s="88"/>
    </row>
    <row r="295" spans="2:14" ht="30" customHeight="1" x14ac:dyDescent="0.45">
      <c r="B295" s="87"/>
      <c r="C295" s="88"/>
      <c r="D295" s="89"/>
      <c r="E295" s="88"/>
      <c r="F295" s="88"/>
      <c r="G295" s="65" t="s">
        <v>45</v>
      </c>
      <c r="H295" s="65" t="s">
        <v>45</v>
      </c>
      <c r="I295" s="65" t="s">
        <v>45</v>
      </c>
      <c r="J295" s="65" t="s">
        <v>45</v>
      </c>
      <c r="K295" s="65" t="s">
        <v>45</v>
      </c>
      <c r="L295" s="69" t="s">
        <v>45</v>
      </c>
      <c r="M295" s="90"/>
      <c r="N295" s="88"/>
    </row>
    <row r="296" spans="2:14" ht="30" customHeight="1" x14ac:dyDescent="0.45">
      <c r="B296" s="87"/>
      <c r="C296" s="88"/>
      <c r="D296" s="89"/>
      <c r="E296" s="88"/>
      <c r="F296" s="88"/>
      <c r="G296" s="65" t="s">
        <v>45</v>
      </c>
      <c r="H296" s="65" t="s">
        <v>45</v>
      </c>
      <c r="I296" s="65" t="s">
        <v>45</v>
      </c>
      <c r="J296" s="65" t="s">
        <v>45</v>
      </c>
      <c r="K296" s="65" t="s">
        <v>45</v>
      </c>
      <c r="L296" s="69" t="s">
        <v>45</v>
      </c>
      <c r="M296" s="90"/>
      <c r="N296" s="88"/>
    </row>
    <row r="297" spans="2:14" ht="30" customHeight="1" x14ac:dyDescent="0.45">
      <c r="B297" s="87">
        <f t="shared" ref="B297" si="334">B261+1</f>
        <v>9</v>
      </c>
      <c r="C297" s="88" t="str">
        <f t="shared" ref="C297" si="335">"TS-0"&amp;B297</f>
        <v>TS-09</v>
      </c>
      <c r="D297" s="89" t="s">
        <v>379</v>
      </c>
      <c r="E297" s="88" t="s">
        <v>331</v>
      </c>
      <c r="F297" s="88" t="s">
        <v>412</v>
      </c>
      <c r="G297" s="65" t="str">
        <f t="shared" ref="G297" si="336">"1TS"&amp;B297&amp;"/"&amp;LEFT(E297,1)&amp;"U"</f>
        <v>1TS9/1U</v>
      </c>
      <c r="H297" s="65" t="str">
        <f>_xlfn.CONCAT(G297,"-",J297,"-",I297,"/",L297)</f>
        <v>1TS9/1U-*-*/1TS9/1U-R1</v>
      </c>
      <c r="I297" s="65" t="s">
        <v>33</v>
      </c>
      <c r="J297" s="65" t="s">
        <v>33</v>
      </c>
      <c r="K297" s="65" t="str">
        <f>_xlfn.CONCAT(L297,"/",J297,"-",I297,"-",G297)</f>
        <v>1TS9/1U-R1/*-*-1TS9/1U</v>
      </c>
      <c r="L297" s="64" t="str">
        <f t="shared" ref="L297" si="337">G297&amp;"-"&amp;RIGHT(M297,2)</f>
        <v>1TS9/1U-R1</v>
      </c>
      <c r="M297" s="91" t="str">
        <f t="shared" ref="M297" si="338">"RTD-0"&amp;B297&amp;" VTP-0"&amp;B297&amp;" Winding Temperature R1"</f>
        <v>RTD-09 VTP-09 Winding Temperature R1</v>
      </c>
      <c r="N297" s="88"/>
    </row>
    <row r="298" spans="2:14" ht="30" customHeight="1" x14ac:dyDescent="0.45">
      <c r="B298" s="87"/>
      <c r="C298" s="88"/>
      <c r="D298" s="89"/>
      <c r="E298" s="88"/>
      <c r="F298" s="88"/>
      <c r="G298" s="65" t="str">
        <f t="shared" ref="G298" si="339">"1TS"&amp;B297&amp;"/"&amp;LEFT(E297,1)&amp;"M"</f>
        <v>1TS9/1M</v>
      </c>
      <c r="H298" s="65" t="str">
        <f t="shared" ref="H298:H320" si="340">_xlfn.CONCAT(G298,"-",J298,"-",I298,"/",L298)</f>
        <v>1TS9/1M-*-*/1TS9/1M-R1</v>
      </c>
      <c r="I298" s="65" t="s">
        <v>33</v>
      </c>
      <c r="J298" s="65" t="s">
        <v>33</v>
      </c>
      <c r="K298" s="65" t="str">
        <f t="shared" ref="K298:K320" si="341">_xlfn.CONCAT(L298,"/",J298,"-",I298,"-",G298)</f>
        <v>1TS9/1M-R1/*-*-1TS9/1M</v>
      </c>
      <c r="L298" s="64" t="str">
        <f t="shared" ref="L298" si="342">G298&amp;"-"&amp;RIGHT(M297,2)</f>
        <v>1TS9/1M-R1</v>
      </c>
      <c r="M298" s="91"/>
      <c r="N298" s="88"/>
    </row>
    <row r="299" spans="2:14" ht="30" customHeight="1" x14ac:dyDescent="0.45">
      <c r="B299" s="87"/>
      <c r="C299" s="88"/>
      <c r="D299" s="89"/>
      <c r="E299" s="88"/>
      <c r="F299" s="88"/>
      <c r="G299" s="65" t="str">
        <f t="shared" ref="G299" si="343">"1TS"&amp;B297&amp;"/"&amp;LEFT(E297,1)&amp;"L"</f>
        <v>1TS9/1L</v>
      </c>
      <c r="H299" s="65" t="str">
        <f t="shared" si="340"/>
        <v>1TS9/1L-*-*/1TS9/1L-R1</v>
      </c>
      <c r="I299" s="65" t="s">
        <v>33</v>
      </c>
      <c r="J299" s="65" t="s">
        <v>33</v>
      </c>
      <c r="K299" s="65" t="str">
        <f t="shared" si="341"/>
        <v>1TS9/1L-R1/*-*-1TS9/1L</v>
      </c>
      <c r="L299" s="64" t="str">
        <f t="shared" ref="L299" si="344">G299&amp;"-"&amp;RIGHT(M297,2)</f>
        <v>1TS9/1L-R1</v>
      </c>
      <c r="M299" s="91"/>
      <c r="N299" s="88"/>
    </row>
    <row r="300" spans="2:14" ht="30" customHeight="1" x14ac:dyDescent="0.45">
      <c r="B300" s="87"/>
      <c r="C300" s="88"/>
      <c r="D300" s="89"/>
      <c r="E300" s="88" t="s">
        <v>332</v>
      </c>
      <c r="F300" s="88" t="s">
        <v>413</v>
      </c>
      <c r="G300" s="65" t="str">
        <f t="shared" ref="G300" si="345">"1TS"&amp;B297&amp;"/"&amp;LEFT(E300,1)&amp;"U"</f>
        <v>1TS9/2U</v>
      </c>
      <c r="H300" s="65" t="str">
        <f t="shared" si="340"/>
        <v>1TS9/2U-*-*/1TS9/2U-Y1</v>
      </c>
      <c r="I300" s="65" t="s">
        <v>33</v>
      </c>
      <c r="J300" s="65" t="s">
        <v>33</v>
      </c>
      <c r="K300" s="65" t="str">
        <f t="shared" si="341"/>
        <v>1TS9/2U-Y1/*-*-1TS9/2U</v>
      </c>
      <c r="L300" s="64" t="str">
        <f t="shared" ref="L300" si="346">G300&amp;"-"&amp;RIGHT(M300,2)</f>
        <v>1TS9/2U-Y1</v>
      </c>
      <c r="M300" s="91" t="str">
        <f t="shared" ref="M300" si="347">"RTD-0"&amp;B297&amp;" VTP-0"&amp;B297&amp;" Winding Temperature Y1"</f>
        <v>RTD-09 VTP-09 Winding Temperature Y1</v>
      </c>
      <c r="N300" s="88"/>
    </row>
    <row r="301" spans="2:14" ht="30" customHeight="1" x14ac:dyDescent="0.45">
      <c r="B301" s="87"/>
      <c r="C301" s="88"/>
      <c r="D301" s="89"/>
      <c r="E301" s="88"/>
      <c r="F301" s="88"/>
      <c r="G301" s="65" t="str">
        <f t="shared" ref="G301" si="348">"1TS"&amp;B297&amp;"/"&amp;LEFT(E300,1)&amp;"M"</f>
        <v>1TS9/2M</v>
      </c>
      <c r="H301" s="65" t="str">
        <f t="shared" si="340"/>
        <v>1TS9/2M-*-*/1TS9/2M-Y1</v>
      </c>
      <c r="I301" s="65" t="s">
        <v>33</v>
      </c>
      <c r="J301" s="65" t="s">
        <v>33</v>
      </c>
      <c r="K301" s="65" t="str">
        <f t="shared" si="341"/>
        <v>1TS9/2M-Y1/*-*-1TS9/2M</v>
      </c>
      <c r="L301" s="64" t="str">
        <f t="shared" ref="L301" si="349">G301&amp;"-"&amp;RIGHT(M300,2)</f>
        <v>1TS9/2M-Y1</v>
      </c>
      <c r="M301" s="91"/>
      <c r="N301" s="88"/>
    </row>
    <row r="302" spans="2:14" ht="30" customHeight="1" x14ac:dyDescent="0.45">
      <c r="B302" s="87"/>
      <c r="C302" s="88"/>
      <c r="D302" s="89"/>
      <c r="E302" s="88"/>
      <c r="F302" s="88"/>
      <c r="G302" s="65" t="str">
        <f t="shared" ref="G302" si="350">"1TS"&amp;B297&amp;"/"&amp;LEFT(E300,1)&amp;"L"</f>
        <v>1TS9/2L</v>
      </c>
      <c r="H302" s="65" t="str">
        <f t="shared" si="340"/>
        <v>1TS9/2L-*-*/1TS9/2L-Y1</v>
      </c>
      <c r="I302" s="65" t="s">
        <v>33</v>
      </c>
      <c r="J302" s="65" t="s">
        <v>33</v>
      </c>
      <c r="K302" s="65" t="str">
        <f t="shared" si="341"/>
        <v>1TS9/2L-Y1/*-*-1TS9/2L</v>
      </c>
      <c r="L302" s="64" t="str">
        <f t="shared" ref="L302" si="351">G302&amp;"-"&amp;RIGHT(M300,2)</f>
        <v>1TS9/2L-Y1</v>
      </c>
      <c r="M302" s="91"/>
      <c r="N302" s="88"/>
    </row>
    <row r="303" spans="2:14" ht="30" customHeight="1" x14ac:dyDescent="0.45">
      <c r="B303" s="87"/>
      <c r="C303" s="88"/>
      <c r="D303" s="89"/>
      <c r="E303" s="88" t="s">
        <v>333</v>
      </c>
      <c r="F303" s="88" t="s">
        <v>414</v>
      </c>
      <c r="G303" s="65" t="str">
        <f t="shared" ref="G303" si="352">"1TS"&amp;B297&amp;"/"&amp;LEFT(E303,1)&amp;"U"</f>
        <v>1TS9/3U</v>
      </c>
      <c r="H303" s="65" t="str">
        <f t="shared" si="340"/>
        <v>1TS9/3U-*-*/1TS9/3U-B1</v>
      </c>
      <c r="I303" s="65" t="s">
        <v>33</v>
      </c>
      <c r="J303" s="65" t="s">
        <v>33</v>
      </c>
      <c r="K303" s="65" t="str">
        <f t="shared" si="341"/>
        <v>1TS9/3U-B1/*-*-1TS9/3U</v>
      </c>
      <c r="L303" s="64" t="str">
        <f t="shared" ref="L303" si="353">G303&amp;"-"&amp;RIGHT(M303,2)</f>
        <v>1TS9/3U-B1</v>
      </c>
      <c r="M303" s="91" t="str">
        <f t="shared" ref="M303" si="354">"RTD-0"&amp;B297&amp;" VTP-0"&amp;B297&amp;" Winding Temperature B1"</f>
        <v>RTD-09 VTP-09 Winding Temperature B1</v>
      </c>
      <c r="N303" s="88"/>
    </row>
    <row r="304" spans="2:14" ht="30" customHeight="1" x14ac:dyDescent="0.45">
      <c r="B304" s="87"/>
      <c r="C304" s="88"/>
      <c r="D304" s="89"/>
      <c r="E304" s="88"/>
      <c r="F304" s="88"/>
      <c r="G304" s="65" t="str">
        <f t="shared" ref="G304" si="355">"1TS"&amp;B297&amp;"/"&amp;LEFT(E303,1)&amp;"M"</f>
        <v>1TS9/3M</v>
      </c>
      <c r="H304" s="65" t="str">
        <f t="shared" si="340"/>
        <v>1TS9/3M-*-*/1TS9/3M-B1</v>
      </c>
      <c r="I304" s="65" t="s">
        <v>33</v>
      </c>
      <c r="J304" s="65" t="s">
        <v>33</v>
      </c>
      <c r="K304" s="65" t="str">
        <f t="shared" si="341"/>
        <v>1TS9/3M-B1/*-*-1TS9/3M</v>
      </c>
      <c r="L304" s="64" t="str">
        <f t="shared" ref="L304" si="356">G304&amp;"-"&amp;RIGHT(M303,2)</f>
        <v>1TS9/3M-B1</v>
      </c>
      <c r="M304" s="91"/>
      <c r="N304" s="88"/>
    </row>
    <row r="305" spans="2:14" ht="30" customHeight="1" x14ac:dyDescent="0.45">
      <c r="B305" s="87"/>
      <c r="C305" s="88"/>
      <c r="D305" s="89"/>
      <c r="E305" s="88"/>
      <c r="F305" s="88"/>
      <c r="G305" s="65" t="str">
        <f t="shared" ref="G305" si="357">"1TS"&amp;B297&amp;"/"&amp;LEFT(E303,1)&amp;"L"</f>
        <v>1TS9/3L</v>
      </c>
      <c r="H305" s="65" t="str">
        <f t="shared" si="340"/>
        <v>1TS9/3L-*-*/1TS9/3L-B1</v>
      </c>
      <c r="I305" s="65" t="s">
        <v>33</v>
      </c>
      <c r="J305" s="65" t="s">
        <v>33</v>
      </c>
      <c r="K305" s="65" t="str">
        <f t="shared" si="341"/>
        <v>1TS9/3L-B1/*-*-1TS9/3L</v>
      </c>
      <c r="L305" s="64" t="str">
        <f t="shared" ref="L305" si="358">G305&amp;"-"&amp;RIGHT(M303,2)</f>
        <v>1TS9/3L-B1</v>
      </c>
      <c r="M305" s="91"/>
      <c r="N305" s="88"/>
    </row>
    <row r="306" spans="2:14" ht="30" customHeight="1" x14ac:dyDescent="0.45">
      <c r="B306" s="87"/>
      <c r="C306" s="88"/>
      <c r="D306" s="89"/>
      <c r="E306" s="88" t="s">
        <v>334</v>
      </c>
      <c r="F306" s="88" t="s">
        <v>415</v>
      </c>
      <c r="G306" s="65" t="str">
        <f t="shared" ref="G306" si="359">"1TS"&amp;B297&amp;"/"&amp;LEFT(E306,1)&amp;"U"</f>
        <v>1TS9/4U</v>
      </c>
      <c r="H306" s="65" t="str">
        <f t="shared" si="340"/>
        <v>1TS9/4U-*-*/1TS9/4U-R2</v>
      </c>
      <c r="I306" s="65" t="s">
        <v>33</v>
      </c>
      <c r="J306" s="65" t="s">
        <v>33</v>
      </c>
      <c r="K306" s="65" t="str">
        <f t="shared" si="341"/>
        <v>1TS9/4U-R2/*-*-1TS9/4U</v>
      </c>
      <c r="L306" s="64" t="str">
        <f t="shared" ref="L306" si="360">G306&amp;"-"&amp;RIGHT(M306,2)</f>
        <v>1TS9/4U-R2</v>
      </c>
      <c r="M306" s="91" t="str">
        <f t="shared" ref="M306" si="361">"RTD-0"&amp;B297&amp;" VTP-0"&amp;B297&amp;" Winding Temperature R2"</f>
        <v>RTD-09 VTP-09 Winding Temperature R2</v>
      </c>
      <c r="N306" s="88"/>
    </row>
    <row r="307" spans="2:14" ht="30" customHeight="1" x14ac:dyDescent="0.45">
      <c r="B307" s="87"/>
      <c r="C307" s="88"/>
      <c r="D307" s="89"/>
      <c r="E307" s="88"/>
      <c r="F307" s="88"/>
      <c r="G307" s="65" t="str">
        <f t="shared" ref="G307" si="362">"1TS"&amp;B297&amp;"/"&amp;LEFT(E306,1)&amp;"M"</f>
        <v>1TS9/4M</v>
      </c>
      <c r="H307" s="65" t="str">
        <f t="shared" si="340"/>
        <v>1TS9/4M-*-*/1TS9/4M-R2</v>
      </c>
      <c r="I307" s="65" t="s">
        <v>33</v>
      </c>
      <c r="J307" s="65" t="s">
        <v>33</v>
      </c>
      <c r="K307" s="65" t="str">
        <f t="shared" si="341"/>
        <v>1TS9/4M-R2/*-*-1TS9/4M</v>
      </c>
      <c r="L307" s="64" t="str">
        <f t="shared" ref="L307" si="363">G307&amp;"-"&amp;RIGHT(M306,2)</f>
        <v>1TS9/4M-R2</v>
      </c>
      <c r="M307" s="91"/>
      <c r="N307" s="88"/>
    </row>
    <row r="308" spans="2:14" ht="30" customHeight="1" x14ac:dyDescent="0.45">
      <c r="B308" s="87"/>
      <c r="C308" s="88"/>
      <c r="D308" s="89"/>
      <c r="E308" s="88"/>
      <c r="F308" s="88"/>
      <c r="G308" s="65" t="str">
        <f t="shared" ref="G308" si="364">"1TS"&amp;B297&amp;"/"&amp;LEFT(E306,1)&amp;"L"</f>
        <v>1TS9/4L</v>
      </c>
      <c r="H308" s="65" t="str">
        <f t="shared" si="340"/>
        <v>1TS9/4L-*-*/1TS9/4L-R2</v>
      </c>
      <c r="I308" s="65" t="s">
        <v>33</v>
      </c>
      <c r="J308" s="65" t="s">
        <v>33</v>
      </c>
      <c r="K308" s="65" t="str">
        <f t="shared" si="341"/>
        <v>1TS9/4L-R2/*-*-1TS9/4L</v>
      </c>
      <c r="L308" s="64" t="str">
        <f t="shared" ref="L308" si="365">G308&amp;"-"&amp;RIGHT(M306,2)</f>
        <v>1TS9/4L-R2</v>
      </c>
      <c r="M308" s="91"/>
      <c r="N308" s="88"/>
    </row>
    <row r="309" spans="2:14" ht="30" customHeight="1" x14ac:dyDescent="0.45">
      <c r="B309" s="87"/>
      <c r="C309" s="88"/>
      <c r="D309" s="89"/>
      <c r="E309" s="88" t="s">
        <v>335</v>
      </c>
      <c r="F309" s="88" t="s">
        <v>416</v>
      </c>
      <c r="G309" s="65" t="str">
        <f t="shared" ref="G309" si="366">"1TS"&amp;B297&amp;"/"&amp;LEFT(E309,1)&amp;"U"</f>
        <v>1TS9/5U</v>
      </c>
      <c r="H309" s="65" t="str">
        <f t="shared" si="340"/>
        <v>1TS9/5U-*-*/1TS9/5U-Y2</v>
      </c>
      <c r="I309" s="65" t="s">
        <v>33</v>
      </c>
      <c r="J309" s="65" t="s">
        <v>33</v>
      </c>
      <c r="K309" s="65" t="str">
        <f t="shared" si="341"/>
        <v>1TS9/5U-Y2/*-*-1TS9/5U</v>
      </c>
      <c r="L309" s="64" t="str">
        <f t="shared" ref="L309" si="367">G309&amp;"-"&amp;RIGHT(M309,2)</f>
        <v>1TS9/5U-Y2</v>
      </c>
      <c r="M309" s="91" t="str">
        <f t="shared" ref="M309" si="368">"RTD-0"&amp;B297&amp;" VTP-0"&amp;B297&amp;" Winding Temperature Y2"</f>
        <v>RTD-09 VTP-09 Winding Temperature Y2</v>
      </c>
      <c r="N309" s="88"/>
    </row>
    <row r="310" spans="2:14" ht="30" customHeight="1" x14ac:dyDescent="0.45">
      <c r="B310" s="87"/>
      <c r="C310" s="88"/>
      <c r="D310" s="89"/>
      <c r="E310" s="88"/>
      <c r="F310" s="88"/>
      <c r="G310" s="65" t="str">
        <f t="shared" ref="G310" si="369">"1TS"&amp;B297&amp;"/"&amp;LEFT(E309,1)&amp;"M"</f>
        <v>1TS9/5M</v>
      </c>
      <c r="H310" s="65" t="str">
        <f t="shared" si="340"/>
        <v>1TS9/5M-*-*/1TS9/5M-Y2</v>
      </c>
      <c r="I310" s="65" t="s">
        <v>33</v>
      </c>
      <c r="J310" s="65" t="s">
        <v>33</v>
      </c>
      <c r="K310" s="65" t="str">
        <f t="shared" si="341"/>
        <v>1TS9/5M-Y2/*-*-1TS9/5M</v>
      </c>
      <c r="L310" s="64" t="str">
        <f t="shared" ref="L310" si="370">G310&amp;"-"&amp;RIGHT(M309,2)</f>
        <v>1TS9/5M-Y2</v>
      </c>
      <c r="M310" s="91"/>
      <c r="N310" s="88"/>
    </row>
    <row r="311" spans="2:14" ht="30" customHeight="1" x14ac:dyDescent="0.45">
      <c r="B311" s="87"/>
      <c r="C311" s="88"/>
      <c r="D311" s="89"/>
      <c r="E311" s="88"/>
      <c r="F311" s="88"/>
      <c r="G311" s="65" t="str">
        <f t="shared" ref="G311" si="371">"1TS"&amp;B297&amp;"/"&amp;LEFT(E309,1)&amp;"L"</f>
        <v>1TS9/5L</v>
      </c>
      <c r="H311" s="65" t="str">
        <f t="shared" si="340"/>
        <v>1TS9/5L-*-*/1TS9/5L-Y2</v>
      </c>
      <c r="I311" s="65" t="s">
        <v>33</v>
      </c>
      <c r="J311" s="65" t="s">
        <v>33</v>
      </c>
      <c r="K311" s="65" t="str">
        <f t="shared" si="341"/>
        <v>1TS9/5L-Y2/*-*-1TS9/5L</v>
      </c>
      <c r="L311" s="64" t="str">
        <f t="shared" ref="L311" si="372">G311&amp;"-"&amp;RIGHT(M309,2)</f>
        <v>1TS9/5L-Y2</v>
      </c>
      <c r="M311" s="91"/>
      <c r="N311" s="88"/>
    </row>
    <row r="312" spans="2:14" ht="30" customHeight="1" x14ac:dyDescent="0.45">
      <c r="B312" s="87"/>
      <c r="C312" s="88"/>
      <c r="D312" s="89"/>
      <c r="E312" s="88" t="s">
        <v>336</v>
      </c>
      <c r="F312" s="88" t="s">
        <v>417</v>
      </c>
      <c r="G312" s="65" t="str">
        <f t="shared" ref="G312" si="373">"1TS"&amp;B297&amp;"/"&amp;LEFT(E312,1)&amp;"U"</f>
        <v>1TS9/6U</v>
      </c>
      <c r="H312" s="65" t="str">
        <f t="shared" si="340"/>
        <v>1TS9/6U-*-*/1TS9/6U-B2</v>
      </c>
      <c r="I312" s="65" t="s">
        <v>33</v>
      </c>
      <c r="J312" s="65" t="s">
        <v>33</v>
      </c>
      <c r="K312" s="65" t="str">
        <f t="shared" si="341"/>
        <v>1TS9/6U-B2/*-*-1TS9/6U</v>
      </c>
      <c r="L312" s="64" t="str">
        <f t="shared" ref="L312" si="374">G312&amp;"-"&amp;RIGHT(M312,2)</f>
        <v>1TS9/6U-B2</v>
      </c>
      <c r="M312" s="91" t="str">
        <f t="shared" ref="M312" si="375">"RTD-0"&amp;B297&amp;" VTP-0"&amp;B297&amp;" Winding Temperature B2"</f>
        <v>RTD-09 VTP-09 Winding Temperature B2</v>
      </c>
      <c r="N312" s="88"/>
    </row>
    <row r="313" spans="2:14" ht="30" customHeight="1" x14ac:dyDescent="0.45">
      <c r="B313" s="87"/>
      <c r="C313" s="88"/>
      <c r="D313" s="89"/>
      <c r="E313" s="88"/>
      <c r="F313" s="88"/>
      <c r="G313" s="65" t="str">
        <f t="shared" ref="G313" si="376">"1TS"&amp;B297&amp;"/"&amp;LEFT(E312,1)&amp;"M"</f>
        <v>1TS9/6M</v>
      </c>
      <c r="H313" s="65" t="str">
        <f t="shared" si="340"/>
        <v>1TS9/6M-*-*/1TS9/6M-B2</v>
      </c>
      <c r="I313" s="65" t="s">
        <v>33</v>
      </c>
      <c r="J313" s="65" t="s">
        <v>33</v>
      </c>
      <c r="K313" s="65" t="str">
        <f t="shared" si="341"/>
        <v>1TS9/6M-B2/*-*-1TS9/6M</v>
      </c>
      <c r="L313" s="64" t="str">
        <f t="shared" ref="L313" si="377">G313&amp;"-"&amp;RIGHT(M312,2)</f>
        <v>1TS9/6M-B2</v>
      </c>
      <c r="M313" s="91"/>
      <c r="N313" s="88"/>
    </row>
    <row r="314" spans="2:14" ht="30" customHeight="1" x14ac:dyDescent="0.45">
      <c r="B314" s="87"/>
      <c r="C314" s="88"/>
      <c r="D314" s="89"/>
      <c r="E314" s="88"/>
      <c r="F314" s="88"/>
      <c r="G314" s="65" t="str">
        <f t="shared" ref="G314" si="378">"1TS"&amp;B297&amp;"/"&amp;LEFT(E312,1)&amp;"L"</f>
        <v>1TS9/6L</v>
      </c>
      <c r="H314" s="65" t="str">
        <f t="shared" si="340"/>
        <v>1TS9/6L-*-*/1TS9/6L-B2</v>
      </c>
      <c r="I314" s="65" t="s">
        <v>33</v>
      </c>
      <c r="J314" s="65" t="s">
        <v>33</v>
      </c>
      <c r="K314" s="65" t="str">
        <f t="shared" si="341"/>
        <v>1TS9/6L-B2/*-*-1TS9/6L</v>
      </c>
      <c r="L314" s="64" t="str">
        <f t="shared" ref="L314" si="379">G314&amp;"-"&amp;RIGHT(M312,2)</f>
        <v>1TS9/6L-B2</v>
      </c>
      <c r="M314" s="91"/>
      <c r="N314" s="88"/>
    </row>
    <row r="315" spans="2:14" ht="30" customHeight="1" x14ac:dyDescent="0.45">
      <c r="B315" s="87"/>
      <c r="C315" s="88"/>
      <c r="D315" s="89"/>
      <c r="E315" s="88" t="s">
        <v>337</v>
      </c>
      <c r="F315" s="88" t="s">
        <v>418</v>
      </c>
      <c r="G315" s="65" t="str">
        <f t="shared" ref="G315" si="380">"1TS"&amp;B297&amp;"/"&amp;LEFT(E315,1)&amp;"U"</f>
        <v>1TS9/7U</v>
      </c>
      <c r="H315" s="65" t="str">
        <f t="shared" si="340"/>
        <v>1TS9/7U-*-*/1TS9/7U-NDE</v>
      </c>
      <c r="I315" s="65" t="s">
        <v>33</v>
      </c>
      <c r="J315" s="65" t="s">
        <v>33</v>
      </c>
      <c r="K315" s="65" t="str">
        <f t="shared" si="341"/>
        <v>1TS9/7U-NDE/*-*-1TS9/7U</v>
      </c>
      <c r="L315" s="64" t="str">
        <f t="shared" ref="L315:L317" si="381">G315&amp;"-"&amp;"NDE"</f>
        <v>1TS9/7U-NDE</v>
      </c>
      <c r="M315" s="91" t="str">
        <f t="shared" ref="M315" si="382">"RTD-0"&amp;B297&amp;" VTP-0"&amp;B297&amp;" Bearing Temperature Non-Drive End"</f>
        <v>RTD-09 VTP-09 Bearing Temperature Non-Drive End</v>
      </c>
      <c r="N315" s="88"/>
    </row>
    <row r="316" spans="2:14" ht="30" customHeight="1" x14ac:dyDescent="0.45">
      <c r="B316" s="87"/>
      <c r="C316" s="88"/>
      <c r="D316" s="89"/>
      <c r="E316" s="88"/>
      <c r="F316" s="88"/>
      <c r="G316" s="65" t="str">
        <f t="shared" ref="G316" si="383">"1TS"&amp;B297&amp;"/"&amp;LEFT(E315,1)&amp;"M"</f>
        <v>1TS9/7M</v>
      </c>
      <c r="H316" s="65" t="str">
        <f t="shared" si="340"/>
        <v>1TS9/7M-*-*/1TS9/7M-NDE</v>
      </c>
      <c r="I316" s="65" t="s">
        <v>33</v>
      </c>
      <c r="J316" s="65" t="s">
        <v>33</v>
      </c>
      <c r="K316" s="65" t="str">
        <f t="shared" si="341"/>
        <v>1TS9/7M-NDE/*-*-1TS9/7M</v>
      </c>
      <c r="L316" s="64" t="str">
        <f t="shared" si="381"/>
        <v>1TS9/7M-NDE</v>
      </c>
      <c r="M316" s="91"/>
      <c r="N316" s="88"/>
    </row>
    <row r="317" spans="2:14" ht="30" customHeight="1" x14ac:dyDescent="0.45">
      <c r="B317" s="87"/>
      <c r="C317" s="88"/>
      <c r="D317" s="89"/>
      <c r="E317" s="88"/>
      <c r="F317" s="88"/>
      <c r="G317" s="65" t="str">
        <f t="shared" ref="G317" si="384">"1TS"&amp;B297&amp;"/"&amp;LEFT(E315,1)&amp;"L"</f>
        <v>1TS9/7L</v>
      </c>
      <c r="H317" s="65" t="str">
        <f t="shared" si="340"/>
        <v>1TS9/7L-*-*/1TS9/7L-NDE</v>
      </c>
      <c r="I317" s="65" t="s">
        <v>33</v>
      </c>
      <c r="J317" s="65" t="s">
        <v>33</v>
      </c>
      <c r="K317" s="65" t="str">
        <f t="shared" si="341"/>
        <v>1TS9/7L-NDE/*-*-1TS9/7L</v>
      </c>
      <c r="L317" s="64" t="str">
        <f t="shared" si="381"/>
        <v>1TS9/7L-NDE</v>
      </c>
      <c r="M317" s="91"/>
      <c r="N317" s="88"/>
    </row>
    <row r="318" spans="2:14" ht="30" customHeight="1" x14ac:dyDescent="0.45">
      <c r="B318" s="87"/>
      <c r="C318" s="88"/>
      <c r="D318" s="89"/>
      <c r="E318" s="88" t="s">
        <v>338</v>
      </c>
      <c r="F318" s="88" t="s">
        <v>419</v>
      </c>
      <c r="G318" s="65" t="str">
        <f t="shared" ref="G318" si="385">"1TS"&amp;B297&amp;"/"&amp;LEFT(E318,1)&amp;"U"</f>
        <v>1TS9/8U</v>
      </c>
      <c r="H318" s="65" t="str">
        <f t="shared" si="340"/>
        <v>1TS9/8U-*-*/1TS9/8U-DE</v>
      </c>
      <c r="I318" s="65" t="s">
        <v>33</v>
      </c>
      <c r="J318" s="65" t="s">
        <v>33</v>
      </c>
      <c r="K318" s="65" t="str">
        <f t="shared" si="341"/>
        <v>1TS9/8U-DE/*-*-1TS9/8U</v>
      </c>
      <c r="L318" s="64" t="str">
        <f t="shared" ref="L318:L320" si="386">G318&amp;"-"&amp;"DE"</f>
        <v>1TS9/8U-DE</v>
      </c>
      <c r="M318" s="91" t="str">
        <f t="shared" ref="M318" si="387">"RTD-0"&amp;B297&amp;" VTP-0"&amp;B297&amp;" Bearing Temperature Drive End"</f>
        <v>RTD-09 VTP-09 Bearing Temperature Drive End</v>
      </c>
      <c r="N318" s="88"/>
    </row>
    <row r="319" spans="2:14" ht="30" customHeight="1" x14ac:dyDescent="0.45">
      <c r="B319" s="87"/>
      <c r="C319" s="88"/>
      <c r="D319" s="89"/>
      <c r="E319" s="88"/>
      <c r="F319" s="88"/>
      <c r="G319" s="65" t="str">
        <f t="shared" ref="G319" si="388">"1TS"&amp;B297&amp;"/"&amp;LEFT(E318,1)&amp;"M"</f>
        <v>1TS9/8M</v>
      </c>
      <c r="H319" s="65" t="str">
        <f t="shared" si="340"/>
        <v>1TS9/8M-*-*/1TS9/8M-DE</v>
      </c>
      <c r="I319" s="65" t="s">
        <v>33</v>
      </c>
      <c r="J319" s="65" t="s">
        <v>33</v>
      </c>
      <c r="K319" s="65" t="str">
        <f t="shared" si="341"/>
        <v>1TS9/8M-DE/*-*-1TS9/8M</v>
      </c>
      <c r="L319" s="64" t="str">
        <f t="shared" si="386"/>
        <v>1TS9/8M-DE</v>
      </c>
      <c r="M319" s="91"/>
      <c r="N319" s="88"/>
    </row>
    <row r="320" spans="2:14" ht="30" customHeight="1" x14ac:dyDescent="0.45">
      <c r="B320" s="87"/>
      <c r="C320" s="88"/>
      <c r="D320" s="89"/>
      <c r="E320" s="88"/>
      <c r="F320" s="88"/>
      <c r="G320" s="65" t="str">
        <f t="shared" ref="G320" si="389">"1TS"&amp;B297&amp;"/"&amp;LEFT(E318,1)&amp;"L"</f>
        <v>1TS9/8L</v>
      </c>
      <c r="H320" s="65" t="str">
        <f t="shared" si="340"/>
        <v>1TS9/8L-*-*/1TS9/8L-DE</v>
      </c>
      <c r="I320" s="65" t="s">
        <v>33</v>
      </c>
      <c r="J320" s="65" t="s">
        <v>33</v>
      </c>
      <c r="K320" s="65" t="str">
        <f t="shared" si="341"/>
        <v>1TS9/8L-DE/*-*-1TS9/8L</v>
      </c>
      <c r="L320" s="64" t="str">
        <f t="shared" si="386"/>
        <v>1TS9/8L-DE</v>
      </c>
      <c r="M320" s="91"/>
      <c r="N320" s="88"/>
    </row>
    <row r="321" spans="2:14" ht="30" customHeight="1" x14ac:dyDescent="0.45">
      <c r="B321" s="87"/>
      <c r="C321" s="88"/>
      <c r="D321" s="89"/>
      <c r="E321" s="88" t="s">
        <v>339</v>
      </c>
      <c r="F321" s="88" t="s">
        <v>45</v>
      </c>
      <c r="G321" s="65" t="s">
        <v>45</v>
      </c>
      <c r="H321" s="65" t="s">
        <v>45</v>
      </c>
      <c r="I321" s="65" t="s">
        <v>45</v>
      </c>
      <c r="J321" s="65" t="s">
        <v>45</v>
      </c>
      <c r="K321" s="65" t="s">
        <v>45</v>
      </c>
      <c r="L321" s="69" t="s">
        <v>45</v>
      </c>
      <c r="M321" s="90" t="s">
        <v>34</v>
      </c>
      <c r="N321" s="88"/>
    </row>
    <row r="322" spans="2:14" ht="30" customHeight="1" x14ac:dyDescent="0.45">
      <c r="B322" s="87"/>
      <c r="C322" s="88"/>
      <c r="D322" s="89"/>
      <c r="E322" s="88"/>
      <c r="F322" s="88"/>
      <c r="G322" s="65" t="s">
        <v>45</v>
      </c>
      <c r="H322" s="65" t="s">
        <v>45</v>
      </c>
      <c r="I322" s="65" t="s">
        <v>45</v>
      </c>
      <c r="J322" s="65" t="s">
        <v>45</v>
      </c>
      <c r="K322" s="65" t="s">
        <v>45</v>
      </c>
      <c r="L322" s="69" t="s">
        <v>45</v>
      </c>
      <c r="M322" s="90"/>
      <c r="N322" s="88"/>
    </row>
    <row r="323" spans="2:14" ht="30" customHeight="1" x14ac:dyDescent="0.45">
      <c r="B323" s="87"/>
      <c r="C323" s="88"/>
      <c r="D323" s="89"/>
      <c r="E323" s="88"/>
      <c r="F323" s="88"/>
      <c r="G323" s="65" t="s">
        <v>45</v>
      </c>
      <c r="H323" s="65" t="s">
        <v>45</v>
      </c>
      <c r="I323" s="65" t="s">
        <v>45</v>
      </c>
      <c r="J323" s="65" t="s">
        <v>45</v>
      </c>
      <c r="K323" s="65" t="s">
        <v>45</v>
      </c>
      <c r="L323" s="69" t="s">
        <v>45</v>
      </c>
      <c r="M323" s="90"/>
      <c r="N323" s="88"/>
    </row>
    <row r="324" spans="2:14" ht="30" customHeight="1" x14ac:dyDescent="0.45">
      <c r="B324" s="87"/>
      <c r="C324" s="88"/>
      <c r="D324" s="89"/>
      <c r="E324" s="88" t="s">
        <v>340</v>
      </c>
      <c r="F324" s="88" t="s">
        <v>45</v>
      </c>
      <c r="G324" s="65" t="s">
        <v>45</v>
      </c>
      <c r="H324" s="65" t="s">
        <v>45</v>
      </c>
      <c r="I324" s="65" t="s">
        <v>45</v>
      </c>
      <c r="J324" s="65" t="s">
        <v>45</v>
      </c>
      <c r="K324" s="65" t="s">
        <v>45</v>
      </c>
      <c r="L324" s="69" t="s">
        <v>45</v>
      </c>
      <c r="M324" s="90" t="s">
        <v>34</v>
      </c>
      <c r="N324" s="88"/>
    </row>
    <row r="325" spans="2:14" ht="30" customHeight="1" x14ac:dyDescent="0.45">
      <c r="B325" s="87"/>
      <c r="C325" s="88"/>
      <c r="D325" s="89"/>
      <c r="E325" s="88"/>
      <c r="F325" s="88"/>
      <c r="G325" s="65" t="s">
        <v>45</v>
      </c>
      <c r="H325" s="65" t="s">
        <v>45</v>
      </c>
      <c r="I325" s="65" t="s">
        <v>45</v>
      </c>
      <c r="J325" s="65" t="s">
        <v>45</v>
      </c>
      <c r="K325" s="65" t="s">
        <v>45</v>
      </c>
      <c r="L325" s="69" t="s">
        <v>45</v>
      </c>
      <c r="M325" s="90"/>
      <c r="N325" s="88"/>
    </row>
    <row r="326" spans="2:14" ht="30" customHeight="1" x14ac:dyDescent="0.45">
      <c r="B326" s="87"/>
      <c r="C326" s="88"/>
      <c r="D326" s="89"/>
      <c r="E326" s="88"/>
      <c r="F326" s="88"/>
      <c r="G326" s="65" t="s">
        <v>45</v>
      </c>
      <c r="H326" s="65" t="s">
        <v>45</v>
      </c>
      <c r="I326" s="65" t="s">
        <v>45</v>
      </c>
      <c r="J326" s="65" t="s">
        <v>45</v>
      </c>
      <c r="K326" s="65" t="s">
        <v>45</v>
      </c>
      <c r="L326" s="69" t="s">
        <v>45</v>
      </c>
      <c r="M326" s="90"/>
      <c r="N326" s="88"/>
    </row>
    <row r="327" spans="2:14" ht="30" customHeight="1" x14ac:dyDescent="0.45">
      <c r="B327" s="87"/>
      <c r="C327" s="88"/>
      <c r="D327" s="89"/>
      <c r="E327" s="88" t="s">
        <v>341</v>
      </c>
      <c r="F327" s="88" t="s">
        <v>45</v>
      </c>
      <c r="G327" s="65" t="s">
        <v>45</v>
      </c>
      <c r="H327" s="65" t="s">
        <v>45</v>
      </c>
      <c r="I327" s="65" t="s">
        <v>45</v>
      </c>
      <c r="J327" s="65" t="s">
        <v>45</v>
      </c>
      <c r="K327" s="65" t="s">
        <v>45</v>
      </c>
      <c r="L327" s="69" t="s">
        <v>45</v>
      </c>
      <c r="M327" s="90" t="s">
        <v>34</v>
      </c>
      <c r="N327" s="88"/>
    </row>
    <row r="328" spans="2:14" ht="30" customHeight="1" x14ac:dyDescent="0.45">
      <c r="B328" s="87"/>
      <c r="C328" s="88"/>
      <c r="D328" s="89"/>
      <c r="E328" s="88"/>
      <c r="F328" s="88"/>
      <c r="G328" s="65" t="s">
        <v>45</v>
      </c>
      <c r="H328" s="65" t="s">
        <v>45</v>
      </c>
      <c r="I328" s="65" t="s">
        <v>45</v>
      </c>
      <c r="J328" s="65" t="s">
        <v>45</v>
      </c>
      <c r="K328" s="65" t="s">
        <v>45</v>
      </c>
      <c r="L328" s="69" t="s">
        <v>45</v>
      </c>
      <c r="M328" s="90"/>
      <c r="N328" s="88"/>
    </row>
    <row r="329" spans="2:14" ht="30" customHeight="1" x14ac:dyDescent="0.45">
      <c r="B329" s="87"/>
      <c r="C329" s="88"/>
      <c r="D329" s="89"/>
      <c r="E329" s="88"/>
      <c r="F329" s="88"/>
      <c r="G329" s="65" t="s">
        <v>45</v>
      </c>
      <c r="H329" s="65" t="s">
        <v>45</v>
      </c>
      <c r="I329" s="65" t="s">
        <v>45</v>
      </c>
      <c r="J329" s="65" t="s">
        <v>45</v>
      </c>
      <c r="K329" s="65" t="s">
        <v>45</v>
      </c>
      <c r="L329" s="69" t="s">
        <v>45</v>
      </c>
      <c r="M329" s="90"/>
      <c r="N329" s="88"/>
    </row>
    <row r="330" spans="2:14" ht="30" customHeight="1" x14ac:dyDescent="0.45">
      <c r="B330" s="87"/>
      <c r="C330" s="88"/>
      <c r="D330" s="89"/>
      <c r="E330" s="88" t="s">
        <v>342</v>
      </c>
      <c r="F330" s="88" t="s">
        <v>45</v>
      </c>
      <c r="G330" s="65" t="s">
        <v>45</v>
      </c>
      <c r="H330" s="65" t="s">
        <v>45</v>
      </c>
      <c r="I330" s="65" t="s">
        <v>45</v>
      </c>
      <c r="J330" s="65" t="s">
        <v>45</v>
      </c>
      <c r="K330" s="65" t="s">
        <v>45</v>
      </c>
      <c r="L330" s="69" t="s">
        <v>45</v>
      </c>
      <c r="M330" s="90" t="s">
        <v>34</v>
      </c>
      <c r="N330" s="88"/>
    </row>
    <row r="331" spans="2:14" ht="30" customHeight="1" x14ac:dyDescent="0.45">
      <c r="B331" s="87"/>
      <c r="C331" s="88"/>
      <c r="D331" s="89"/>
      <c r="E331" s="88"/>
      <c r="F331" s="88"/>
      <c r="G331" s="65" t="s">
        <v>45</v>
      </c>
      <c r="H331" s="65" t="s">
        <v>45</v>
      </c>
      <c r="I331" s="65" t="s">
        <v>45</v>
      </c>
      <c r="J331" s="65" t="s">
        <v>45</v>
      </c>
      <c r="K331" s="65" t="s">
        <v>45</v>
      </c>
      <c r="L331" s="69" t="s">
        <v>45</v>
      </c>
      <c r="M331" s="90"/>
      <c r="N331" s="88"/>
    </row>
    <row r="332" spans="2:14" ht="30" customHeight="1" x14ac:dyDescent="0.45">
      <c r="B332" s="87"/>
      <c r="C332" s="88"/>
      <c r="D332" s="89"/>
      <c r="E332" s="88"/>
      <c r="F332" s="88"/>
      <c r="G332" s="65" t="s">
        <v>45</v>
      </c>
      <c r="H332" s="65" t="s">
        <v>45</v>
      </c>
      <c r="I332" s="65" t="s">
        <v>45</v>
      </c>
      <c r="J332" s="65" t="s">
        <v>45</v>
      </c>
      <c r="K332" s="65" t="s">
        <v>45</v>
      </c>
      <c r="L332" s="69" t="s">
        <v>45</v>
      </c>
      <c r="M332" s="90"/>
      <c r="N332" s="88"/>
    </row>
  </sheetData>
  <mergeCells count="485">
    <mergeCell ref="B297:B332"/>
    <mergeCell ref="C297:C332"/>
    <mergeCell ref="D297:D332"/>
    <mergeCell ref="E291:E293"/>
    <mergeCell ref="F291:F293"/>
    <mergeCell ref="M291:M293"/>
    <mergeCell ref="F279:F281"/>
    <mergeCell ref="M279:M281"/>
    <mergeCell ref="B261:B296"/>
    <mergeCell ref="C261:C296"/>
    <mergeCell ref="D261:D296"/>
    <mergeCell ref="N327:N329"/>
    <mergeCell ref="E330:E332"/>
    <mergeCell ref="F330:F332"/>
    <mergeCell ref="M330:M332"/>
    <mergeCell ref="N330:N332"/>
    <mergeCell ref="E321:E323"/>
    <mergeCell ref="F321:F323"/>
    <mergeCell ref="M321:M323"/>
    <mergeCell ref="N321:N323"/>
    <mergeCell ref="E324:E326"/>
    <mergeCell ref="F324:F326"/>
    <mergeCell ref="M324:M326"/>
    <mergeCell ref="N324:N326"/>
    <mergeCell ref="E327:E329"/>
    <mergeCell ref="F327:F329"/>
    <mergeCell ref="M327:M329"/>
    <mergeCell ref="N315:N317"/>
    <mergeCell ref="E318:E320"/>
    <mergeCell ref="F318:F320"/>
    <mergeCell ref="M318:M320"/>
    <mergeCell ref="N318:N320"/>
    <mergeCell ref="N306:N308"/>
    <mergeCell ref="E309:E311"/>
    <mergeCell ref="F309:F311"/>
    <mergeCell ref="M309:M311"/>
    <mergeCell ref="N309:N311"/>
    <mergeCell ref="E312:E314"/>
    <mergeCell ref="F312:F314"/>
    <mergeCell ref="M312:M314"/>
    <mergeCell ref="N312:N314"/>
    <mergeCell ref="E306:E308"/>
    <mergeCell ref="F306:F308"/>
    <mergeCell ref="M306:M308"/>
    <mergeCell ref="E315:E317"/>
    <mergeCell ref="F315:F317"/>
    <mergeCell ref="M315:M317"/>
    <mergeCell ref="N297:N299"/>
    <mergeCell ref="E300:E302"/>
    <mergeCell ref="F300:F302"/>
    <mergeCell ref="M300:M302"/>
    <mergeCell ref="N300:N302"/>
    <mergeCell ref="E303:E305"/>
    <mergeCell ref="F303:F305"/>
    <mergeCell ref="M303:M305"/>
    <mergeCell ref="N303:N305"/>
    <mergeCell ref="E297:E299"/>
    <mergeCell ref="F297:F299"/>
    <mergeCell ref="M297:M299"/>
    <mergeCell ref="N291:N293"/>
    <mergeCell ref="E294:E296"/>
    <mergeCell ref="F294:F296"/>
    <mergeCell ref="M294:M296"/>
    <mergeCell ref="N294:N296"/>
    <mergeCell ref="E285:E287"/>
    <mergeCell ref="F285:F287"/>
    <mergeCell ref="M285:M287"/>
    <mergeCell ref="N285:N287"/>
    <mergeCell ref="E288:E290"/>
    <mergeCell ref="F288:F290"/>
    <mergeCell ref="M288:M290"/>
    <mergeCell ref="N288:N290"/>
    <mergeCell ref="N279:N281"/>
    <mergeCell ref="E282:E284"/>
    <mergeCell ref="F282:F284"/>
    <mergeCell ref="M282:M284"/>
    <mergeCell ref="N282:N284"/>
    <mergeCell ref="N270:N272"/>
    <mergeCell ref="E273:E275"/>
    <mergeCell ref="F273:F275"/>
    <mergeCell ref="M273:M275"/>
    <mergeCell ref="N273:N275"/>
    <mergeCell ref="E276:E278"/>
    <mergeCell ref="F276:F278"/>
    <mergeCell ref="M276:M278"/>
    <mergeCell ref="N276:N278"/>
    <mergeCell ref="E270:E272"/>
    <mergeCell ref="F270:F272"/>
    <mergeCell ref="M270:M272"/>
    <mergeCell ref="E279:E281"/>
    <mergeCell ref="N261:N263"/>
    <mergeCell ref="E264:E266"/>
    <mergeCell ref="F264:F266"/>
    <mergeCell ref="M264:M266"/>
    <mergeCell ref="N264:N266"/>
    <mergeCell ref="E267:E269"/>
    <mergeCell ref="F267:F269"/>
    <mergeCell ref="M267:M269"/>
    <mergeCell ref="N267:N269"/>
    <mergeCell ref="E261:E263"/>
    <mergeCell ref="F261:F263"/>
    <mergeCell ref="M261:M263"/>
    <mergeCell ref="N255:N257"/>
    <mergeCell ref="E258:E260"/>
    <mergeCell ref="F258:F260"/>
    <mergeCell ref="M258:M260"/>
    <mergeCell ref="N258:N260"/>
    <mergeCell ref="E249:E251"/>
    <mergeCell ref="F249:F251"/>
    <mergeCell ref="M249:M251"/>
    <mergeCell ref="N249:N251"/>
    <mergeCell ref="E252:E254"/>
    <mergeCell ref="F252:F254"/>
    <mergeCell ref="M252:M254"/>
    <mergeCell ref="N252:N254"/>
    <mergeCell ref="E255:E257"/>
    <mergeCell ref="F255:F257"/>
    <mergeCell ref="N243:N245"/>
    <mergeCell ref="E246:E248"/>
    <mergeCell ref="F246:F248"/>
    <mergeCell ref="M246:M248"/>
    <mergeCell ref="N246:N248"/>
    <mergeCell ref="N234:N236"/>
    <mergeCell ref="E237:E239"/>
    <mergeCell ref="F237:F239"/>
    <mergeCell ref="M237:M239"/>
    <mergeCell ref="N237:N239"/>
    <mergeCell ref="E240:E242"/>
    <mergeCell ref="F240:F242"/>
    <mergeCell ref="M240:M242"/>
    <mergeCell ref="N240:N242"/>
    <mergeCell ref="N225:N227"/>
    <mergeCell ref="E228:E230"/>
    <mergeCell ref="F228:F230"/>
    <mergeCell ref="M228:M230"/>
    <mergeCell ref="N228:N230"/>
    <mergeCell ref="E231:E233"/>
    <mergeCell ref="F231:F233"/>
    <mergeCell ref="M231:M233"/>
    <mergeCell ref="N231:N233"/>
    <mergeCell ref="B225:B260"/>
    <mergeCell ref="C225:C260"/>
    <mergeCell ref="D225:D260"/>
    <mergeCell ref="E225:E227"/>
    <mergeCell ref="F225:F227"/>
    <mergeCell ref="M225:M227"/>
    <mergeCell ref="E234:E236"/>
    <mergeCell ref="F234:F236"/>
    <mergeCell ref="M234:M236"/>
    <mergeCell ref="E243:E245"/>
    <mergeCell ref="F243:F245"/>
    <mergeCell ref="M243:M245"/>
    <mergeCell ref="M255:M257"/>
    <mergeCell ref="N219:N221"/>
    <mergeCell ref="E222:E224"/>
    <mergeCell ref="F222:F224"/>
    <mergeCell ref="M222:M224"/>
    <mergeCell ref="N222:N224"/>
    <mergeCell ref="E213:E215"/>
    <mergeCell ref="F213:F215"/>
    <mergeCell ref="M213:M215"/>
    <mergeCell ref="N213:N215"/>
    <mergeCell ref="E216:E218"/>
    <mergeCell ref="F216:F218"/>
    <mergeCell ref="M216:M218"/>
    <mergeCell ref="N216:N218"/>
    <mergeCell ref="N207:N209"/>
    <mergeCell ref="E210:E212"/>
    <mergeCell ref="F210:F212"/>
    <mergeCell ref="M210:M212"/>
    <mergeCell ref="N210:N212"/>
    <mergeCell ref="N198:N200"/>
    <mergeCell ref="E201:E203"/>
    <mergeCell ref="F201:F203"/>
    <mergeCell ref="M201:M203"/>
    <mergeCell ref="N201:N203"/>
    <mergeCell ref="E204:E206"/>
    <mergeCell ref="F204:F206"/>
    <mergeCell ref="M204:M206"/>
    <mergeCell ref="N204:N206"/>
    <mergeCell ref="N189:N191"/>
    <mergeCell ref="E192:E194"/>
    <mergeCell ref="F192:F194"/>
    <mergeCell ref="M192:M194"/>
    <mergeCell ref="N192:N194"/>
    <mergeCell ref="E195:E197"/>
    <mergeCell ref="F195:F197"/>
    <mergeCell ref="M195:M197"/>
    <mergeCell ref="N195:N197"/>
    <mergeCell ref="B189:B224"/>
    <mergeCell ref="C189:C224"/>
    <mergeCell ref="D189:D224"/>
    <mergeCell ref="E189:E191"/>
    <mergeCell ref="F189:F191"/>
    <mergeCell ref="M189:M191"/>
    <mergeCell ref="E198:E200"/>
    <mergeCell ref="F198:F200"/>
    <mergeCell ref="M198:M200"/>
    <mergeCell ref="E207:E209"/>
    <mergeCell ref="F207:F209"/>
    <mergeCell ref="M207:M209"/>
    <mergeCell ref="E219:E221"/>
    <mergeCell ref="F219:F221"/>
    <mergeCell ref="M219:M221"/>
    <mergeCell ref="N183:N185"/>
    <mergeCell ref="E186:E188"/>
    <mergeCell ref="F186:F188"/>
    <mergeCell ref="M186:M188"/>
    <mergeCell ref="N186:N188"/>
    <mergeCell ref="E177:E179"/>
    <mergeCell ref="F177:F179"/>
    <mergeCell ref="M177:M179"/>
    <mergeCell ref="N177:N179"/>
    <mergeCell ref="E180:E182"/>
    <mergeCell ref="F180:F182"/>
    <mergeCell ref="M180:M182"/>
    <mergeCell ref="N180:N182"/>
    <mergeCell ref="N171:N173"/>
    <mergeCell ref="E174:E176"/>
    <mergeCell ref="F174:F176"/>
    <mergeCell ref="M174:M176"/>
    <mergeCell ref="N174:N176"/>
    <mergeCell ref="N162:N164"/>
    <mergeCell ref="E165:E167"/>
    <mergeCell ref="F165:F167"/>
    <mergeCell ref="M165:M167"/>
    <mergeCell ref="N165:N167"/>
    <mergeCell ref="E168:E170"/>
    <mergeCell ref="F168:F170"/>
    <mergeCell ref="M168:M170"/>
    <mergeCell ref="N168:N170"/>
    <mergeCell ref="N153:N155"/>
    <mergeCell ref="E156:E158"/>
    <mergeCell ref="F156:F158"/>
    <mergeCell ref="M156:M158"/>
    <mergeCell ref="N156:N158"/>
    <mergeCell ref="E159:E161"/>
    <mergeCell ref="F159:F161"/>
    <mergeCell ref="M159:M161"/>
    <mergeCell ref="N159:N161"/>
    <mergeCell ref="B153:B188"/>
    <mergeCell ref="C153:C188"/>
    <mergeCell ref="D153:D188"/>
    <mergeCell ref="E153:E155"/>
    <mergeCell ref="F153:F155"/>
    <mergeCell ref="M153:M155"/>
    <mergeCell ref="E162:E164"/>
    <mergeCell ref="F162:F164"/>
    <mergeCell ref="M162:M164"/>
    <mergeCell ref="E171:E173"/>
    <mergeCell ref="F171:F173"/>
    <mergeCell ref="M171:M173"/>
    <mergeCell ref="E183:E185"/>
    <mergeCell ref="F183:F185"/>
    <mergeCell ref="M183:M185"/>
    <mergeCell ref="N147:N149"/>
    <mergeCell ref="E150:E152"/>
    <mergeCell ref="F150:F152"/>
    <mergeCell ref="M150:M152"/>
    <mergeCell ref="N150:N152"/>
    <mergeCell ref="E141:E143"/>
    <mergeCell ref="F141:F143"/>
    <mergeCell ref="M141:M143"/>
    <mergeCell ref="N141:N143"/>
    <mergeCell ref="E144:E146"/>
    <mergeCell ref="F144:F146"/>
    <mergeCell ref="M144:M146"/>
    <mergeCell ref="N144:N146"/>
    <mergeCell ref="N135:N137"/>
    <mergeCell ref="E138:E140"/>
    <mergeCell ref="F138:F140"/>
    <mergeCell ref="M138:M140"/>
    <mergeCell ref="N138:N140"/>
    <mergeCell ref="N126:N128"/>
    <mergeCell ref="E129:E131"/>
    <mergeCell ref="F129:F131"/>
    <mergeCell ref="M129:M131"/>
    <mergeCell ref="N129:N131"/>
    <mergeCell ref="E132:E134"/>
    <mergeCell ref="F132:F134"/>
    <mergeCell ref="M132:M134"/>
    <mergeCell ref="N132:N134"/>
    <mergeCell ref="N117:N119"/>
    <mergeCell ref="E120:E122"/>
    <mergeCell ref="F120:F122"/>
    <mergeCell ref="M120:M122"/>
    <mergeCell ref="N120:N122"/>
    <mergeCell ref="E123:E125"/>
    <mergeCell ref="F123:F125"/>
    <mergeCell ref="M123:M125"/>
    <mergeCell ref="N123:N125"/>
    <mergeCell ref="B117:B152"/>
    <mergeCell ref="C117:C152"/>
    <mergeCell ref="D117:D152"/>
    <mergeCell ref="E117:E119"/>
    <mergeCell ref="F117:F119"/>
    <mergeCell ref="M117:M119"/>
    <mergeCell ref="E126:E128"/>
    <mergeCell ref="F126:F128"/>
    <mergeCell ref="M126:M128"/>
    <mergeCell ref="E135:E137"/>
    <mergeCell ref="F135:F137"/>
    <mergeCell ref="M135:M137"/>
    <mergeCell ref="E147:E149"/>
    <mergeCell ref="F147:F149"/>
    <mergeCell ref="M147:M149"/>
    <mergeCell ref="N111:N113"/>
    <mergeCell ref="E114:E116"/>
    <mergeCell ref="F114:F116"/>
    <mergeCell ref="M114:M116"/>
    <mergeCell ref="N114:N116"/>
    <mergeCell ref="E105:E107"/>
    <mergeCell ref="F105:F107"/>
    <mergeCell ref="M105:M107"/>
    <mergeCell ref="N105:N107"/>
    <mergeCell ref="E108:E110"/>
    <mergeCell ref="F108:F110"/>
    <mergeCell ref="M108:M110"/>
    <mergeCell ref="N108:N110"/>
    <mergeCell ref="N99:N101"/>
    <mergeCell ref="E102:E104"/>
    <mergeCell ref="F102:F104"/>
    <mergeCell ref="M102:M104"/>
    <mergeCell ref="N102:N104"/>
    <mergeCell ref="N90:N92"/>
    <mergeCell ref="E93:E95"/>
    <mergeCell ref="F93:F95"/>
    <mergeCell ref="M93:M95"/>
    <mergeCell ref="N93:N95"/>
    <mergeCell ref="E96:E98"/>
    <mergeCell ref="F96:F98"/>
    <mergeCell ref="M96:M98"/>
    <mergeCell ref="N96:N98"/>
    <mergeCell ref="N81:N83"/>
    <mergeCell ref="E84:E86"/>
    <mergeCell ref="F84:F86"/>
    <mergeCell ref="M84:M86"/>
    <mergeCell ref="N84:N86"/>
    <mergeCell ref="E87:E89"/>
    <mergeCell ref="F87:F89"/>
    <mergeCell ref="M87:M89"/>
    <mergeCell ref="N87:N89"/>
    <mergeCell ref="B81:B116"/>
    <mergeCell ref="C81:C116"/>
    <mergeCell ref="D81:D116"/>
    <mergeCell ref="E81:E83"/>
    <mergeCell ref="F81:F83"/>
    <mergeCell ref="M81:M83"/>
    <mergeCell ref="E90:E92"/>
    <mergeCell ref="F90:F92"/>
    <mergeCell ref="M90:M92"/>
    <mergeCell ref="E99:E101"/>
    <mergeCell ref="F99:F101"/>
    <mergeCell ref="M99:M101"/>
    <mergeCell ref="E111:E113"/>
    <mergeCell ref="F111:F113"/>
    <mergeCell ref="M111:M113"/>
    <mergeCell ref="E75:E77"/>
    <mergeCell ref="F75:F77"/>
    <mergeCell ref="M75:M77"/>
    <mergeCell ref="N75:N77"/>
    <mergeCell ref="E78:E80"/>
    <mergeCell ref="F78:F80"/>
    <mergeCell ref="M78:M80"/>
    <mergeCell ref="N78:N80"/>
    <mergeCell ref="E69:E71"/>
    <mergeCell ref="F69:F71"/>
    <mergeCell ref="M69:M71"/>
    <mergeCell ref="N69:N71"/>
    <mergeCell ref="E72:E74"/>
    <mergeCell ref="F72:F74"/>
    <mergeCell ref="M72:M74"/>
    <mergeCell ref="N72:N74"/>
    <mergeCell ref="E66:E68"/>
    <mergeCell ref="F66:F68"/>
    <mergeCell ref="M66:M68"/>
    <mergeCell ref="N66:N68"/>
    <mergeCell ref="E57:E59"/>
    <mergeCell ref="F57:F59"/>
    <mergeCell ref="M57:M59"/>
    <mergeCell ref="N57:N59"/>
    <mergeCell ref="E60:E62"/>
    <mergeCell ref="F60:F62"/>
    <mergeCell ref="M60:M62"/>
    <mergeCell ref="N60:N62"/>
    <mergeCell ref="M45:M47"/>
    <mergeCell ref="N45:N47"/>
    <mergeCell ref="E48:E50"/>
    <mergeCell ref="F48:F50"/>
    <mergeCell ref="M48:M50"/>
    <mergeCell ref="N48:N50"/>
    <mergeCell ref="E63:E65"/>
    <mergeCell ref="F63:F65"/>
    <mergeCell ref="M63:M65"/>
    <mergeCell ref="N63:N65"/>
    <mergeCell ref="N30:N32"/>
    <mergeCell ref="N33:N35"/>
    <mergeCell ref="M27:M29"/>
    <mergeCell ref="M30:M32"/>
    <mergeCell ref="M33:M35"/>
    <mergeCell ref="B45:B80"/>
    <mergeCell ref="C45:C80"/>
    <mergeCell ref="D45:D80"/>
    <mergeCell ref="E45:E47"/>
    <mergeCell ref="F45:F47"/>
    <mergeCell ref="E51:E53"/>
    <mergeCell ref="F27:F29"/>
    <mergeCell ref="F30:F32"/>
    <mergeCell ref="F33:F35"/>
    <mergeCell ref="F36:F38"/>
    <mergeCell ref="F39:F41"/>
    <mergeCell ref="F42:F44"/>
    <mergeCell ref="F51:F53"/>
    <mergeCell ref="M51:M53"/>
    <mergeCell ref="N51:N53"/>
    <mergeCell ref="E54:E56"/>
    <mergeCell ref="F54:F56"/>
    <mergeCell ref="M54:M56"/>
    <mergeCell ref="N54:N56"/>
    <mergeCell ref="M9:M11"/>
    <mergeCell ref="M12:M14"/>
    <mergeCell ref="M15:M17"/>
    <mergeCell ref="M18:M20"/>
    <mergeCell ref="M21:M23"/>
    <mergeCell ref="M24:M26"/>
    <mergeCell ref="E33:E35"/>
    <mergeCell ref="E42:E44"/>
    <mergeCell ref="N36:N38"/>
    <mergeCell ref="N39:N41"/>
    <mergeCell ref="N42:N44"/>
    <mergeCell ref="N9:N11"/>
    <mergeCell ref="N12:N14"/>
    <mergeCell ref="N15:N17"/>
    <mergeCell ref="N18:N20"/>
    <mergeCell ref="N21:N23"/>
    <mergeCell ref="N24:N26"/>
    <mergeCell ref="F9:F11"/>
    <mergeCell ref="F12:F14"/>
    <mergeCell ref="F15:F17"/>
    <mergeCell ref="F18:F20"/>
    <mergeCell ref="F21:F23"/>
    <mergeCell ref="F24:F26"/>
    <mergeCell ref="N27:N29"/>
    <mergeCell ref="B8:N8"/>
    <mergeCell ref="B9:B44"/>
    <mergeCell ref="C9:C44"/>
    <mergeCell ref="D9:D44"/>
    <mergeCell ref="E9:E11"/>
    <mergeCell ref="E12:E14"/>
    <mergeCell ref="C6:C7"/>
    <mergeCell ref="D6:D7"/>
    <mergeCell ref="E6:E7"/>
    <mergeCell ref="F6:F7"/>
    <mergeCell ref="G6:G7"/>
    <mergeCell ref="J6:J7"/>
    <mergeCell ref="E36:E38"/>
    <mergeCell ref="E15:E17"/>
    <mergeCell ref="E18:E20"/>
    <mergeCell ref="E21:E23"/>
    <mergeCell ref="E24:E26"/>
    <mergeCell ref="E27:E29"/>
    <mergeCell ref="E30:E32"/>
    <mergeCell ref="I6:I7"/>
    <mergeCell ref="M36:M38"/>
    <mergeCell ref="M39:M41"/>
    <mergeCell ref="M42:M44"/>
    <mergeCell ref="E39:E41"/>
    <mergeCell ref="L4:N4"/>
    <mergeCell ref="B5:B7"/>
    <mergeCell ref="C5:G5"/>
    <mergeCell ref="H5:H7"/>
    <mergeCell ref="I5:J5"/>
    <mergeCell ref="K5:K7"/>
    <mergeCell ref="L5:M5"/>
    <mergeCell ref="N5:N7"/>
    <mergeCell ref="L2:N2"/>
    <mergeCell ref="L3:N3"/>
    <mergeCell ref="L6:L7"/>
    <mergeCell ref="M6:M7"/>
    <mergeCell ref="G4:K4"/>
    <mergeCell ref="G3:K3"/>
    <mergeCell ref="G2:K2"/>
    <mergeCell ref="B4:F4"/>
    <mergeCell ref="C3:F3"/>
    <mergeCell ref="B2:F2"/>
  </mergeCells>
  <phoneticPr fontId="6" type="noConversion"/>
  <pageMargins left="0.23622047244094491" right="0.23622047244094491" top="0.74803149606299213" bottom="0.74803149606299213" header="0.31496062992125984" footer="0.31496062992125984"/>
  <pageSetup paperSize="8" scale="41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Cover</vt:lpstr>
      <vt:lpstr>FIELD ANALOG INST-PLC</vt:lpstr>
      <vt:lpstr>FIELD DIGITAL INST-PLC</vt:lpstr>
      <vt:lpstr>MOV-PLC</vt:lpstr>
      <vt:lpstr>MCC-PLC</vt:lpstr>
      <vt:lpstr>VFD-PLC DIGITAL</vt:lpstr>
      <vt:lpstr>VFD-PLC ANALOG</vt:lpstr>
      <vt:lpstr>TS-PLC</vt:lpstr>
      <vt:lpstr>MOTOR-TS</vt:lpstr>
      <vt:lpstr>Cover!Print_Area</vt:lpstr>
      <vt:lpstr>'FIELD ANALOG INST-PLC'!Print_Area</vt:lpstr>
      <vt:lpstr>'FIELD DIGITAL INST-PLC'!Print_Area</vt:lpstr>
      <vt:lpstr>'MCC-PLC'!Print_Area</vt:lpstr>
      <vt:lpstr>'MOTOR-TS'!Print_Area</vt:lpstr>
      <vt:lpstr>'MOV-PLC'!Print_Area</vt:lpstr>
      <vt:lpstr>'TS-PLC'!Print_Area</vt:lpstr>
      <vt:lpstr>'VFD-PLC ANALOG'!Print_Area</vt:lpstr>
      <vt:lpstr>'VFD-PLC DIGITAL'!Print_Area</vt:lpstr>
      <vt:lpstr>'FIELD ANALOG INST-PLC'!Print_Titles</vt:lpstr>
      <vt:lpstr>'FIELD DIGITAL INST-PLC'!Print_Titles</vt:lpstr>
      <vt:lpstr>'MCC-PLC'!Print_Titles</vt:lpstr>
      <vt:lpstr>'MOTOR-TS'!Print_Titles</vt:lpstr>
      <vt:lpstr>'MOV-PLC'!Print_Titles</vt:lpstr>
      <vt:lpstr>'TS-PLC'!Print_Titles</vt:lpstr>
      <vt:lpstr>'VFD-PLC ANALOG'!Print_Titles</vt:lpstr>
      <vt:lpstr>'VFD-PLC DIGITAL'!Print_Titles</vt:lpstr>
    </vt:vector>
  </TitlesOfParts>
  <Company>LNT ECC DIV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ZAID KHAN</dc:creator>
  <cp:lastModifiedBy>MOHD ZAID KHAN</cp:lastModifiedBy>
  <cp:lastPrinted>2026-01-03T10:14:22Z</cp:lastPrinted>
  <dcterms:created xsi:type="dcterms:W3CDTF">2015-04-21T10:00:40Z</dcterms:created>
  <dcterms:modified xsi:type="dcterms:W3CDTF">2026-03-25T05:02:20Z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52bb50-aef2-4dc8-bb7f-e0da22648362_Enabled">
    <vt:lpwstr>True</vt:lpwstr>
  </property>
  <property fmtid="{D5CDD505-2E9C-101B-9397-08002B2CF9AE}" pid="3" name="MSIP_Label_ac52bb50-aef2-4dc8-bb7f-e0da22648362_SiteId">
    <vt:lpwstr>264b9899-fe1b-430b-9509-2154878d5774</vt:lpwstr>
  </property>
  <property fmtid="{D5CDD505-2E9C-101B-9397-08002B2CF9AE}" pid="4" name="MSIP_Label_ac52bb50-aef2-4dc8-bb7f-e0da22648362_Owner">
    <vt:lpwstr>SURENDHAR@lntecc.com</vt:lpwstr>
  </property>
  <property fmtid="{D5CDD505-2E9C-101B-9397-08002B2CF9AE}" pid="5" name="MSIP_Label_ac52bb50-aef2-4dc8-bb7f-e0da22648362_SetDate">
    <vt:lpwstr>2021-01-09T04:53:23.2524025Z</vt:lpwstr>
  </property>
  <property fmtid="{D5CDD505-2E9C-101B-9397-08002B2CF9AE}" pid="6" name="MSIP_Label_ac52bb50-aef2-4dc8-bb7f-e0da22648362_Name">
    <vt:lpwstr>LTC Internal Use</vt:lpwstr>
  </property>
  <property fmtid="{D5CDD505-2E9C-101B-9397-08002B2CF9AE}" pid="7" name="MSIP_Label_ac52bb50-aef2-4dc8-bb7f-e0da22648362_Application">
    <vt:lpwstr>Microsoft Azure Information Protection</vt:lpwstr>
  </property>
  <property fmtid="{D5CDD505-2E9C-101B-9397-08002B2CF9AE}" pid="8" name="MSIP_Label_ac52bb50-aef2-4dc8-bb7f-e0da22648362_ActionId">
    <vt:lpwstr>ed7b628f-8dbe-4cb7-85f9-4874aacf8e4e</vt:lpwstr>
  </property>
  <property fmtid="{D5CDD505-2E9C-101B-9397-08002B2CF9AE}" pid="9" name="MSIP_Label_ac52bb50-aef2-4dc8-bb7f-e0da22648362_Extended_MSFT_Method">
    <vt:lpwstr>Automatic</vt:lpwstr>
  </property>
  <property fmtid="{D5CDD505-2E9C-101B-9397-08002B2CF9AE}" pid="10" name="Sensitivity">
    <vt:lpwstr>LTC Internal Use</vt:lpwstr>
  </property>
</Properties>
</file>