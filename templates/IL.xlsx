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IS_Automation\Program_v0.2\templates\"/>
    </mc:Choice>
  </mc:AlternateContent>
  <xr:revisionPtr revIDLastSave="0" documentId="13_ncr:1_{1F77123F-8BB9-414E-848E-A678DE059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7" r:id="rId1"/>
    <sheet name="Instrument List" sheetId="1" r:id="rId2"/>
  </sheets>
  <definedNames>
    <definedName name="_xlnm._FilterDatabase" localSheetId="1" hidden="1">'Instrument List'!$A$5:$T$14</definedName>
    <definedName name="_xlnm.Print_Area" localSheetId="0">Cover!$A$1:$AF$50</definedName>
    <definedName name="_xlnm.Print_Area" localSheetId="1">'Instrument List'!$A$1:$T$9</definedName>
    <definedName name="_xlnm.Print_Titles" localSheetId="1">'Instrument List'!$1:$5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7" l="1"/>
  <c r="V4" i="1"/>
  <c r="U4" i="1"/>
  <c r="F28" i="7"/>
  <c r="J38" i="7"/>
  <c r="E2" i="1" s="1"/>
  <c r="F35" i="7"/>
  <c r="E1" i="1" s="1"/>
  <c r="F34" i="7"/>
  <c r="C3" i="1" s="1"/>
  <c r="F33" i="7"/>
  <c r="C2" i="1" s="1"/>
  <c r="AE43" i="7"/>
  <c r="AD29" i="7"/>
  <c r="D41" i="7" s="1"/>
  <c r="AB29" i="7"/>
  <c r="Z29" i="7"/>
  <c r="H39" i="7"/>
  <c r="Q2" i="1" s="1"/>
  <c r="D40" i="7"/>
  <c r="D39" i="7"/>
  <c r="H40" i="7" l="1"/>
  <c r="H41" i="7" s="1"/>
  <c r="B28" i="7"/>
  <c r="E3" i="1"/>
</calcChain>
</file>

<file path=xl/sharedStrings.xml><?xml version="1.0" encoding="utf-8"?>
<sst xmlns="http://schemas.openxmlformats.org/spreadsheetml/2006/main" count="68" uniqueCount="65">
  <si>
    <t>CLIENT :</t>
  </si>
  <si>
    <t>CONSULTANT :</t>
  </si>
  <si>
    <t>SL.NO</t>
  </si>
  <si>
    <t>CODE</t>
  </si>
  <si>
    <t xml:space="preserve">LARSEN &amp; TOUBRO CONSTRUCTION
 WATER &amp; EFFLUENT TREATMENT </t>
  </si>
  <si>
    <t>TAG NO.</t>
  </si>
  <si>
    <t>INSTRUMENT</t>
  </si>
  <si>
    <t>SERVICE DESCRIPTION</t>
  </si>
  <si>
    <t>MEDIUM</t>
  </si>
  <si>
    <t>TYPE &amp; SPECIFICATION</t>
  </si>
  <si>
    <t>WORKING VALUE</t>
  </si>
  <si>
    <t>DESIGN VALUE</t>
  </si>
  <si>
    <t>LTCD-WET-EDRC-C&amp;I</t>
  </si>
  <si>
    <t>SET POINT</t>
  </si>
  <si>
    <t>UOM</t>
  </si>
  <si>
    <t>REMARKS</t>
  </si>
  <si>
    <t>PROCESS
CONNECTION</t>
  </si>
  <si>
    <t>LINE
SIZE
(mm)</t>
  </si>
  <si>
    <t>INSTRUMENT
RANGE</t>
  </si>
  <si>
    <t>FOR APPROVAL</t>
  </si>
  <si>
    <t>DATE</t>
  </si>
  <si>
    <t>REV. NO.</t>
  </si>
  <si>
    <t>DESCRIPTION</t>
  </si>
  <si>
    <t>PREPARED</t>
  </si>
  <si>
    <t>CHECKED</t>
  </si>
  <si>
    <t>APPROVED</t>
  </si>
  <si>
    <t>CLIENT</t>
  </si>
  <si>
    <t>CONSULTANT</t>
  </si>
  <si>
    <t>PROJECT</t>
  </si>
  <si>
    <t>SUPPLIER/ CONTRACTOR</t>
  </si>
  <si>
    <t>L&amp;T CONSTRUCTION - WATER &amp; EFFLUENT TREATMENT IC</t>
  </si>
  <si>
    <t>JOB NO</t>
  </si>
  <si>
    <t>TITLE :</t>
  </si>
  <si>
    <t>NAME</t>
  </si>
  <si>
    <t>SIGN</t>
  </si>
  <si>
    <t>PRED</t>
  </si>
  <si>
    <t>CHKD</t>
  </si>
  <si>
    <t>APPD</t>
  </si>
  <si>
    <t>SIZE</t>
  </si>
  <si>
    <t>REV.</t>
  </si>
  <si>
    <t>DOC.No.</t>
  </si>
  <si>
    <t>A3</t>
  </si>
  <si>
    <t>RELEASED FOR</t>
  </si>
  <si>
    <t xml:space="preserve">  PRELIMINARY</t>
  </si>
  <si>
    <t>TENDER</t>
  </si>
  <si>
    <t>INFORMATION</t>
  </si>
  <si>
    <t>APPROVAL</t>
  </si>
  <si>
    <t>CONSTRUCTION</t>
  </si>
  <si>
    <r>
      <t xml:space="preserve">This document is the property of </t>
    </r>
    <r>
      <rPr>
        <b/>
        <sz val="11"/>
        <rFont val="Aptos"/>
        <family val="2"/>
      </rPr>
      <t xml:space="preserve">Larsen &amp; Toubro Limited, </t>
    </r>
    <r>
      <rPr>
        <sz val="11"/>
        <rFont val="Aptos"/>
        <family val="2"/>
      </rPr>
      <t>ECC Division - EDRC and must not be passed on to any third person or firm not authorised by us, nor be copied/made use of in full or part by such person or firm without our prior permission writing</t>
    </r>
  </si>
  <si>
    <t>Prepared by:</t>
  </si>
  <si>
    <t>Checked by:</t>
  </si>
  <si>
    <t>Approved by:</t>
  </si>
  <si>
    <t>Date:</t>
  </si>
  <si>
    <t>Rev:</t>
  </si>
  <si>
    <t>Project:</t>
  </si>
  <si>
    <t>Client:</t>
  </si>
  <si>
    <t>Consultant:</t>
  </si>
  <si>
    <t>Document No:</t>
  </si>
  <si>
    <t>Location:</t>
  </si>
  <si>
    <t>✓</t>
  </si>
  <si>
    <t>REF DOC NO :</t>
  </si>
  <si>
    <r>
      <t>PRESSURE
(Kg/cm</t>
    </r>
    <r>
      <rPr>
        <b/>
        <vertAlign val="superscript"/>
        <sz val="18"/>
        <color rgb="FF000000"/>
        <rFont val="Aptos"/>
        <family val="2"/>
      </rPr>
      <t>2</t>
    </r>
    <r>
      <rPr>
        <b/>
        <sz val="18"/>
        <color rgb="FF000000"/>
        <rFont val="Aptos"/>
        <family val="2"/>
      </rPr>
      <t>)</t>
    </r>
  </si>
  <si>
    <r>
      <t>FLOW
(m</t>
    </r>
    <r>
      <rPr>
        <b/>
        <vertAlign val="superscript"/>
        <sz val="18"/>
        <color rgb="FF000000"/>
        <rFont val="Aptos"/>
        <family val="2"/>
      </rPr>
      <t>3</t>
    </r>
    <r>
      <rPr>
        <b/>
        <sz val="18"/>
        <color rgb="FF000000"/>
        <rFont val="Aptos"/>
        <family val="2"/>
      </rPr>
      <t>/hr)</t>
    </r>
  </si>
  <si>
    <t>LEVEL
(m)</t>
  </si>
  <si>
    <t>FREE BOARD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</si>
</sst>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Aptos"/>
      <family val="2"/>
    </font>
    <font>
      <b/>
      <sz val="11"/>
      <name val="Aptos"/>
      <family val="2"/>
    </font>
    <font>
      <b/>
      <sz val="12"/>
      <name val="Aptos"/>
      <family val="2"/>
    </font>
    <font>
      <sz val="18"/>
      <color rgb="FF000000"/>
      <name val="Aptos"/>
      <family val="2"/>
    </font>
    <font>
      <b/>
      <sz val="18"/>
      <color rgb="FF000000"/>
      <name val="Aptos"/>
      <family val="2"/>
    </font>
    <font>
      <sz val="12"/>
      <name val="Aptos"/>
      <family val="2"/>
    </font>
    <font>
      <sz val="10"/>
      <name val="Aptos"/>
      <family val="2"/>
    </font>
    <font>
      <sz val="9"/>
      <name val="Aptos"/>
      <family val="2"/>
    </font>
    <font>
      <b/>
      <sz val="10"/>
      <name val="Aptos"/>
      <family val="2"/>
    </font>
    <font>
      <b/>
      <sz val="9"/>
      <name val="Aptos"/>
      <family val="2"/>
    </font>
    <font>
      <sz val="11"/>
      <name val="Aptos"/>
      <family val="2"/>
    </font>
    <font>
      <b/>
      <sz val="12"/>
      <name val="Amasis MT Pro Black"/>
      <family val="1"/>
    </font>
    <font>
      <b/>
      <vertAlign val="superscript"/>
      <sz val="18"/>
      <color rgb="FF000000"/>
      <name val="Aptos"/>
      <family val="2"/>
    </font>
  </fonts>
  <fills count="16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13" borderId="1"/>
    <xf numFmtId="0" fontId="1" fillId="13" borderId="1"/>
  </cellStyleXfs>
  <cellXfs count="93">
    <xf numFmtId="0" fontId="0" fillId="0" borderId="0" xfId="0"/>
    <xf numFmtId="0" fontId="6" fillId="0" borderId="1" xfId="0" applyFont="1" applyBorder="1"/>
    <xf numFmtId="1" fontId="6" fillId="5" borderId="2" xfId="0" applyNumberFormat="1" applyFont="1" applyFill="1" applyBorder="1" applyAlignment="1">
      <alignment horizontal="center" vertical="center" wrapText="1" shrinkToFit="1"/>
    </xf>
    <xf numFmtId="49" fontId="6" fillId="6" borderId="2" xfId="0" applyNumberFormat="1" applyFont="1" applyFill="1" applyBorder="1" applyAlignment="1">
      <alignment horizontal="center" vertical="center" wrapText="1" shrinkToFit="1"/>
    </xf>
    <xf numFmtId="0" fontId="6" fillId="8" borderId="2" xfId="0" applyFont="1" applyFill="1" applyBorder="1" applyAlignment="1">
      <alignment horizontal="center" vertical="center" wrapText="1" shrinkToFit="1"/>
    </xf>
    <xf numFmtId="0" fontId="6" fillId="11" borderId="2" xfId="0" applyFont="1" applyFill="1" applyBorder="1" applyAlignment="1">
      <alignment horizontal="center" vertical="center" wrapText="1" shrinkToFit="1"/>
    </xf>
    <xf numFmtId="49" fontId="6" fillId="9" borderId="2" xfId="0" applyNumberFormat="1" applyFont="1" applyFill="1" applyBorder="1" applyAlignment="1">
      <alignment horizontal="center" vertical="center" wrapText="1" shrinkToFit="1"/>
    </xf>
    <xf numFmtId="0" fontId="6" fillId="10" borderId="2" xfId="0" applyFont="1" applyFill="1" applyBorder="1" applyAlignment="1">
      <alignment horizontal="center" vertical="center" wrapText="1" shrinkToFit="1"/>
    </xf>
    <xf numFmtId="0" fontId="6" fillId="12" borderId="2" xfId="0" applyFont="1" applyFill="1" applyBorder="1" applyAlignment="1">
      <alignment horizontal="center" vertical="center" wrapText="1" shrinkToFit="1"/>
    </xf>
    <xf numFmtId="0" fontId="7" fillId="15" borderId="2" xfId="0" applyFont="1" applyFill="1" applyBorder="1" applyAlignment="1">
      <alignment horizontal="center" vertical="center" wrapText="1" shrinkToFit="1"/>
    </xf>
    <xf numFmtId="0" fontId="8" fillId="13" borderId="4" xfId="2" applyFont="1" applyBorder="1" applyAlignment="1" applyProtection="1">
      <alignment vertical="center"/>
      <protection locked="0"/>
    </xf>
    <xf numFmtId="0" fontId="8" fillId="13" borderId="5" xfId="2" applyFont="1" applyBorder="1" applyAlignment="1" applyProtection="1">
      <alignment vertical="center"/>
      <protection locked="0"/>
    </xf>
    <xf numFmtId="0" fontId="8" fillId="13" borderId="1" xfId="2" applyFont="1" applyAlignment="1" applyProtection="1">
      <alignment vertical="center"/>
      <protection locked="0"/>
    </xf>
    <xf numFmtId="0" fontId="8" fillId="13" borderId="7" xfId="2" applyFont="1" applyBorder="1" applyAlignment="1" applyProtection="1">
      <alignment vertical="center"/>
      <protection locked="0"/>
    </xf>
    <xf numFmtId="0" fontId="8" fillId="13" borderId="8" xfId="2" applyFont="1" applyBorder="1" applyAlignment="1" applyProtection="1">
      <alignment vertical="center"/>
      <protection locked="0"/>
    </xf>
    <xf numFmtId="0" fontId="8" fillId="13" borderId="9" xfId="2" applyFont="1" applyBorder="1" applyAlignment="1" applyProtection="1">
      <alignment vertical="center"/>
      <protection locked="0"/>
    </xf>
    <xf numFmtId="0" fontId="9" fillId="13" borderId="9" xfId="2" applyFont="1" applyBorder="1" applyAlignment="1" applyProtection="1">
      <alignment horizontal="justify" vertical="justify" textRotation="90" wrapText="1"/>
      <protection locked="0"/>
    </xf>
    <xf numFmtId="0" fontId="8" fillId="13" borderId="10" xfId="2" applyFont="1" applyBorder="1" applyAlignment="1" applyProtection="1">
      <alignment vertical="center"/>
      <protection locked="0"/>
    </xf>
    <xf numFmtId="0" fontId="8" fillId="13" borderId="12" xfId="2" applyFont="1" applyBorder="1" applyAlignment="1" applyProtection="1">
      <alignment vertical="center"/>
      <protection locked="0"/>
    </xf>
    <xf numFmtId="0" fontId="8" fillId="13" borderId="2" xfId="2" applyFont="1" applyBorder="1" applyAlignment="1" applyProtection="1">
      <alignment horizontal="center" vertical="center" shrinkToFit="1"/>
      <protection locked="0"/>
    </xf>
    <xf numFmtId="0" fontId="8" fillId="13" borderId="13" xfId="2" applyFont="1" applyBorder="1" applyAlignment="1" applyProtection="1">
      <alignment vertical="center"/>
      <protection locked="0"/>
    </xf>
    <xf numFmtId="0" fontId="8" fillId="13" borderId="12" xfId="2" applyFont="1" applyBorder="1" applyAlignment="1" applyProtection="1">
      <alignment horizontal="left"/>
      <protection locked="0"/>
    </xf>
    <xf numFmtId="0" fontId="8" fillId="13" borderId="13" xfId="2" applyFont="1" applyBorder="1" applyAlignment="1" applyProtection="1">
      <alignment horizontal="center" vertical="center"/>
      <protection locked="0"/>
    </xf>
    <xf numFmtId="0" fontId="8" fillId="13" borderId="11" xfId="2" applyFont="1" applyBorder="1" applyAlignment="1" applyProtection="1">
      <alignment vertical="center"/>
      <protection locked="0"/>
    </xf>
    <xf numFmtId="0" fontId="8" fillId="13" borderId="14" xfId="2" applyFont="1" applyBorder="1" applyAlignment="1" applyProtection="1">
      <alignment vertical="center"/>
      <protection locked="0"/>
    </xf>
    <xf numFmtId="0" fontId="8" fillId="13" borderId="15" xfId="2" applyFont="1" applyBorder="1" applyAlignment="1" applyProtection="1">
      <alignment horizontal="center" vertical="center"/>
      <protection locked="0"/>
    </xf>
    <xf numFmtId="0" fontId="8" fillId="13" borderId="14" xfId="2" applyFont="1" applyBorder="1" applyAlignment="1" applyProtection="1">
      <alignment horizontal="center" vertical="center"/>
      <protection locked="0"/>
    </xf>
    <xf numFmtId="0" fontId="11" fillId="13" borderId="15" xfId="2" applyFont="1" applyBorder="1" applyAlignment="1" applyProtection="1">
      <alignment horizontal="center" vertical="center"/>
      <protection locked="0"/>
    </xf>
    <xf numFmtId="0" fontId="8" fillId="13" borderId="16" xfId="2" applyFont="1" applyBorder="1" applyAlignment="1" applyProtection="1">
      <alignment vertical="center"/>
      <protection locked="0"/>
    </xf>
    <xf numFmtId="0" fontId="8" fillId="13" borderId="17" xfId="2" applyFont="1" applyBorder="1" applyAlignment="1" applyProtection="1">
      <alignment vertical="center"/>
      <protection locked="0"/>
    </xf>
    <xf numFmtId="0" fontId="12" fillId="13" borderId="12" xfId="2" applyFont="1" applyBorder="1" applyAlignment="1" applyProtection="1">
      <alignment vertical="center"/>
      <protection locked="0"/>
    </xf>
    <xf numFmtId="0" fontId="12" fillId="13" borderId="13" xfId="2" applyFont="1" applyBorder="1" applyAlignment="1" applyProtection="1">
      <alignment vertical="center"/>
      <protection locked="0"/>
    </xf>
    <xf numFmtId="0" fontId="9" fillId="13" borderId="15" xfId="2" applyFont="1" applyBorder="1" applyAlignment="1" applyProtection="1">
      <alignment vertical="center"/>
      <protection locked="0"/>
    </xf>
    <xf numFmtId="0" fontId="9" fillId="13" borderId="11" xfId="2" applyFont="1" applyBorder="1" applyAlignment="1" applyProtection="1">
      <alignment vertical="center"/>
      <protection locked="0"/>
    </xf>
    <xf numFmtId="0" fontId="9" fillId="13" borderId="14" xfId="2" applyFont="1" applyBorder="1" applyAlignment="1" applyProtection="1">
      <alignment vertical="center"/>
      <protection locked="0"/>
    </xf>
    <xf numFmtId="0" fontId="8" fillId="13" borderId="18" xfId="2" applyFont="1" applyBorder="1" applyAlignment="1" applyProtection="1">
      <alignment vertical="center"/>
      <protection locked="0"/>
    </xf>
    <xf numFmtId="0" fontId="8" fillId="13" borderId="19" xfId="2" applyFont="1" applyBorder="1" applyAlignment="1" applyProtection="1">
      <alignment vertical="center"/>
      <protection locked="0"/>
    </xf>
    <xf numFmtId="0" fontId="8" fillId="13" borderId="20" xfId="2" applyFont="1" applyBorder="1" applyAlignment="1" applyProtection="1">
      <alignment vertical="center"/>
      <protection locked="0"/>
    </xf>
    <xf numFmtId="14" fontId="8" fillId="13" borderId="5" xfId="2" applyNumberFormat="1" applyFont="1" applyBorder="1" applyAlignment="1" applyProtection="1">
      <alignment vertical="center"/>
      <protection locked="0"/>
    </xf>
    <xf numFmtId="0" fontId="8" fillId="13" borderId="2" xfId="2" applyFont="1" applyBorder="1" applyAlignment="1" applyProtection="1">
      <alignment vertical="center"/>
      <protection locked="0"/>
    </xf>
    <xf numFmtId="0" fontId="14" fillId="13" borderId="2" xfId="2" applyFont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 wrapText="1" shrinkToFit="1"/>
    </xf>
    <xf numFmtId="0" fontId="7" fillId="3" borderId="2" xfId="0" applyFont="1" applyFill="1" applyBorder="1" applyAlignment="1">
      <alignment horizontal="center" vertical="center" wrapText="1" shrinkToFit="1"/>
    </xf>
    <xf numFmtId="0" fontId="7" fillId="15" borderId="2" xfId="0" applyFont="1" applyFill="1" applyBorder="1" applyAlignment="1">
      <alignment horizontal="center" vertical="center" wrapText="1" shrinkToFit="1"/>
    </xf>
    <xf numFmtId="0" fontId="7" fillId="4" borderId="2" xfId="0" applyFont="1" applyFill="1" applyBorder="1" applyAlignment="1">
      <alignment horizontal="center" vertical="center" wrapText="1" shrinkToFit="1"/>
    </xf>
    <xf numFmtId="49" fontId="6" fillId="14" borderId="2" xfId="0" applyNumberFormat="1" applyFont="1" applyFill="1" applyBorder="1" applyAlignment="1">
      <alignment horizontal="center" vertical="center" wrapText="1" shrinkToFit="1"/>
    </xf>
    <xf numFmtId="49" fontId="6" fillId="6" borderId="2" xfId="0" applyNumberFormat="1" applyFont="1" applyFill="1" applyBorder="1" applyAlignment="1">
      <alignment horizontal="center" vertical="center" wrapText="1" shrinkToFit="1"/>
    </xf>
    <xf numFmtId="0" fontId="5" fillId="13" borderId="13" xfId="2" applyFont="1" applyBorder="1" applyAlignment="1">
      <alignment horizontal="center" vertical="center"/>
    </xf>
    <xf numFmtId="0" fontId="5" fillId="13" borderId="12" xfId="2" applyFont="1" applyBorder="1" applyAlignment="1">
      <alignment horizontal="center" vertical="center"/>
    </xf>
    <xf numFmtId="0" fontId="8" fillId="13" borderId="2" xfId="2" applyFont="1" applyBorder="1" applyAlignment="1" applyProtection="1">
      <alignment horizontal="center" vertical="center"/>
      <protection locked="0"/>
    </xf>
    <xf numFmtId="0" fontId="10" fillId="13" borderId="2" xfId="2" quotePrefix="1" applyFont="1" applyBorder="1" applyAlignment="1" applyProtection="1">
      <alignment horizontal="center" vertical="center"/>
      <protection locked="0"/>
    </xf>
    <xf numFmtId="0" fontId="10" fillId="13" borderId="2" xfId="2" applyFont="1" applyBorder="1" applyAlignment="1" applyProtection="1">
      <alignment horizontal="center" vertical="center"/>
      <protection locked="0"/>
    </xf>
    <xf numFmtId="164" fontId="8" fillId="13" borderId="2" xfId="2" applyNumberFormat="1" applyFont="1" applyBorder="1" applyAlignment="1" applyProtection="1">
      <alignment horizontal="center" vertical="center"/>
      <protection locked="0"/>
    </xf>
    <xf numFmtId="0" fontId="3" fillId="13" borderId="2" xfId="2" applyFont="1" applyBorder="1" applyAlignment="1" applyProtection="1">
      <alignment horizontal="center" vertical="center" wrapText="1"/>
      <protection locked="0"/>
    </xf>
    <xf numFmtId="0" fontId="5" fillId="13" borderId="2" xfId="2" applyFont="1" applyBorder="1" applyAlignment="1">
      <alignment horizontal="center" vertical="center"/>
    </xf>
    <xf numFmtId="0" fontId="5" fillId="13" borderId="2" xfId="2" applyFont="1" applyBorder="1" applyAlignment="1" applyProtection="1">
      <alignment horizontal="center" vertical="center"/>
      <protection locked="0"/>
    </xf>
    <xf numFmtId="0" fontId="5" fillId="13" borderId="2" xfId="2" applyFont="1" applyBorder="1" applyAlignment="1">
      <alignment horizontal="left" vertical="center"/>
    </xf>
    <xf numFmtId="0" fontId="4" fillId="13" borderId="2" xfId="2" applyFont="1" applyBorder="1" applyAlignment="1">
      <alignment horizontal="center" vertical="center"/>
    </xf>
    <xf numFmtId="0" fontId="3" fillId="13" borderId="10" xfId="2" applyFont="1" applyBorder="1" applyAlignment="1">
      <alignment horizontal="center" vertical="center" wrapText="1"/>
    </xf>
    <xf numFmtId="0" fontId="3" fillId="13" borderId="11" xfId="2" applyFont="1" applyBorder="1" applyAlignment="1">
      <alignment horizontal="center" vertical="center" wrapText="1"/>
    </xf>
    <xf numFmtId="0" fontId="5" fillId="13" borderId="2" xfId="2" applyFont="1" applyBorder="1" applyAlignment="1" applyProtection="1">
      <alignment horizontal="center" vertical="center" wrapText="1"/>
      <protection locked="0"/>
    </xf>
    <xf numFmtId="0" fontId="8" fillId="13" borderId="2" xfId="2" applyFont="1" applyBorder="1" applyAlignment="1" applyProtection="1">
      <alignment horizontal="center" vertical="center" wrapText="1"/>
      <protection locked="0"/>
    </xf>
    <xf numFmtId="0" fontId="8" fillId="13" borderId="2" xfId="2" quotePrefix="1" applyFont="1" applyBorder="1" applyAlignment="1" applyProtection="1">
      <alignment horizontal="left" vertical="center"/>
      <protection locked="0"/>
    </xf>
    <xf numFmtId="0" fontId="8" fillId="13" borderId="2" xfId="2" applyFont="1" applyBorder="1" applyAlignment="1" applyProtection="1">
      <alignment horizontal="left" vertical="center"/>
      <protection locked="0"/>
    </xf>
    <xf numFmtId="0" fontId="8" fillId="13" borderId="2" xfId="2" quotePrefix="1" applyFont="1" applyBorder="1" applyAlignment="1" applyProtection="1">
      <alignment horizontal="center" vertical="center"/>
      <protection locked="0"/>
    </xf>
    <xf numFmtId="0" fontId="13" fillId="13" borderId="3" xfId="2" applyFont="1" applyBorder="1" applyAlignment="1">
      <alignment horizontal="center" vertical="justify" textRotation="90" wrapText="1"/>
    </xf>
    <xf numFmtId="0" fontId="13" fillId="13" borderId="6" xfId="2" applyFont="1" applyBorder="1" applyAlignment="1">
      <alignment horizontal="center" vertical="justify" textRotation="90" wrapText="1"/>
    </xf>
    <xf numFmtId="15" fontId="8" fillId="13" borderId="2" xfId="2" applyNumberFormat="1" applyFont="1" applyBorder="1" applyAlignment="1" applyProtection="1">
      <alignment horizontal="center" vertical="center"/>
      <protection locked="0"/>
    </xf>
    <xf numFmtId="0" fontId="8" fillId="13" borderId="1" xfId="2" applyFont="1" applyBorder="1" applyAlignment="1" applyProtection="1">
      <alignment vertical="center"/>
      <protection locked="0"/>
    </xf>
    <xf numFmtId="0" fontId="8" fillId="13" borderId="13" xfId="2" applyFont="1" applyBorder="1" applyAlignment="1" applyProtection="1">
      <alignment horizontal="center" vertical="center"/>
      <protection locked="0"/>
    </xf>
    <xf numFmtId="0" fontId="8" fillId="13" borderId="1" xfId="2" applyFont="1" applyBorder="1" applyAlignment="1" applyProtection="1">
      <alignment horizontal="center" vertical="center"/>
      <protection locked="0"/>
    </xf>
    <xf numFmtId="0" fontId="8" fillId="13" borderId="12" xfId="2" applyFont="1" applyBorder="1" applyAlignment="1" applyProtection="1">
      <alignment horizontal="center" vertical="center"/>
      <protection locked="0"/>
    </xf>
    <xf numFmtId="15" fontId="8" fillId="13" borderId="13" xfId="2" applyNumberFormat="1" applyFont="1" applyBorder="1" applyAlignment="1" applyProtection="1">
      <alignment horizontal="center" vertical="center"/>
      <protection locked="0"/>
    </xf>
    <xf numFmtId="0" fontId="3" fillId="13" borderId="16" xfId="2" applyFont="1" applyBorder="1" applyAlignment="1">
      <alignment horizontal="center" vertical="center" wrapText="1"/>
    </xf>
    <xf numFmtId="0" fontId="3" fillId="13" borderId="17" xfId="2" applyFont="1" applyBorder="1" applyAlignment="1">
      <alignment horizontal="center" vertical="center" wrapText="1"/>
    </xf>
    <xf numFmtId="0" fontId="3" fillId="13" borderId="15" xfId="2" applyFont="1" applyBorder="1" applyAlignment="1">
      <alignment horizontal="center" vertical="center" wrapText="1"/>
    </xf>
    <xf numFmtId="0" fontId="3" fillId="13" borderId="14" xfId="2" applyFont="1" applyBorder="1" applyAlignment="1">
      <alignment horizontal="center" vertical="center" wrapText="1"/>
    </xf>
    <xf numFmtId="0" fontId="5" fillId="13" borderId="13" xfId="2" applyFont="1" applyBorder="1" applyAlignment="1">
      <alignment vertical="center"/>
    </xf>
    <xf numFmtId="0" fontId="8" fillId="13" borderId="1" xfId="2" applyFont="1" applyBorder="1" applyAlignment="1">
      <alignment vertical="center"/>
    </xf>
    <xf numFmtId="0" fontId="8" fillId="13" borderId="12" xfId="2" applyFont="1" applyBorder="1" applyAlignment="1" applyProtection="1">
      <alignment horizontal="left" vertical="center"/>
      <protection locked="0"/>
    </xf>
    <xf numFmtId="0" fontId="8" fillId="13" borderId="15" xfId="2" applyFont="1" applyBorder="1" applyAlignment="1" applyProtection="1">
      <alignment vertical="center"/>
      <protection locked="0"/>
    </xf>
    <xf numFmtId="0" fontId="11" fillId="13" borderId="14" xfId="2" applyFont="1" applyBorder="1" applyAlignment="1" applyProtection="1">
      <alignment horizontal="center" vertical="center"/>
      <protection locked="0"/>
    </xf>
    <xf numFmtId="0" fontId="9" fillId="13" borderId="1" xfId="2" applyFont="1" applyBorder="1" applyAlignment="1" applyProtection="1">
      <alignment vertical="center"/>
      <protection locked="0"/>
    </xf>
    <xf numFmtId="0" fontId="11" fillId="13" borderId="1" xfId="2" applyFont="1" applyBorder="1" applyAlignment="1">
      <alignment vertical="center"/>
    </xf>
    <xf numFmtId="0" fontId="12" fillId="13" borderId="1" xfId="2" applyFont="1" applyBorder="1" applyAlignment="1" applyProtection="1">
      <alignment vertical="center"/>
      <protection locked="0"/>
    </xf>
    <xf numFmtId="0" fontId="9" fillId="13" borderId="13" xfId="2" applyFont="1" applyBorder="1" applyAlignment="1" applyProtection="1">
      <alignment vertical="center"/>
      <protection locked="0"/>
    </xf>
    <xf numFmtId="0" fontId="7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 wrapText="1" shrinkToFit="1"/>
    </xf>
    <xf numFmtId="49" fontId="6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EF6E04D5-1C6E-4D56-B092-2EB271D1504C}"/>
    <cellStyle name="Normal 3" xfId="2" xr:uid="{280FDC5C-1A9E-4FAE-8EE7-D2A1D3079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63499</xdr:colOff>
      <xdr:row>30</xdr:row>
      <xdr:rowOff>92165</xdr:rowOff>
    </xdr:from>
    <xdr:to>
      <xdr:col>21</xdr:col>
      <xdr:colOff>114299</xdr:colOff>
      <xdr:row>31</xdr:row>
      <xdr:rowOff>534984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EC5240-B101-4C87-8857-57576294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EFDF9"/>
            </a:clrFrom>
            <a:clrTo>
              <a:srgbClr val="FEFDF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759" y="6645365"/>
          <a:ext cx="3502660" cy="7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395592</xdr:colOff>
      <xdr:row>0</xdr:row>
      <xdr:rowOff>19458</xdr:rowOff>
    </xdr:from>
    <xdr:to>
      <xdr:col>1</xdr:col>
      <xdr:colOff>625813</xdr:colOff>
      <xdr:row>0</xdr:row>
      <xdr:rowOff>882504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C939F-1C71-BF32-1F22-5BA54683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592" y="19458"/>
          <a:ext cx="1060315" cy="863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5EFC-604D-4AE6-94B4-2D9E6E83BF19}">
  <sheetPr>
    <pageSetUpPr fitToPage="1"/>
  </sheetPr>
  <dimension ref="A1:AI50"/>
  <sheetViews>
    <sheetView showGridLines="0" tabSelected="1" zoomScale="70" zoomScaleNormal="70" zoomScaleSheetLayoutView="70" workbookViewId="0">
      <selection sqref="A1:A36"/>
    </sheetView>
  </sheetViews>
  <sheetFormatPr defaultColWidth="3.77734375" defaultRowHeight="14.4" customHeight="1" x14ac:dyDescent="0.3"/>
  <cols>
    <col min="1" max="1" width="6.5546875" style="12" customWidth="1"/>
    <col min="2" max="2" width="5.21875" style="12" customWidth="1"/>
    <col min="3" max="3" width="5" style="12" customWidth="1"/>
    <col min="4" max="4" width="4.77734375" style="12" customWidth="1"/>
    <col min="5" max="5" width="7.21875" style="12" customWidth="1"/>
    <col min="6" max="6" width="5.77734375" style="12" customWidth="1"/>
    <col min="7" max="7" width="2.77734375" style="12" customWidth="1"/>
    <col min="8" max="8" width="5.44140625" style="12" customWidth="1"/>
    <col min="9" max="9" width="5.21875" style="12" customWidth="1"/>
    <col min="10" max="10" width="2.77734375" style="12" customWidth="1"/>
    <col min="11" max="11" width="5.77734375" style="12" customWidth="1"/>
    <col min="12" max="12" width="3.77734375" style="12" customWidth="1"/>
    <col min="13" max="13" width="4.21875" style="12" customWidth="1"/>
    <col min="14" max="14" width="2.77734375" style="12" customWidth="1"/>
    <col min="15" max="15" width="3.77734375" style="12" customWidth="1"/>
    <col min="16" max="16" width="6.21875" style="12" customWidth="1"/>
    <col min="17" max="17" width="4.77734375" style="12" customWidth="1"/>
    <col min="18" max="18" width="2.77734375" style="12" customWidth="1"/>
    <col min="19" max="20" width="3.77734375" style="12" customWidth="1"/>
    <col min="21" max="21" width="8.5546875" style="12" customWidth="1"/>
    <col min="22" max="22" width="3.77734375" style="12" customWidth="1"/>
    <col min="23" max="23" width="2.77734375" style="12" customWidth="1"/>
    <col min="24" max="24" width="3.77734375" style="12" customWidth="1"/>
    <col min="25" max="25" width="5.21875" style="12" customWidth="1"/>
    <col min="26" max="26" width="6.21875" style="12" customWidth="1"/>
    <col min="27" max="27" width="5.77734375" style="12" customWidth="1"/>
    <col min="28" max="28" width="2.77734375" style="12" customWidth="1"/>
    <col min="29" max="29" width="7" style="12" customWidth="1"/>
    <col min="30" max="30" width="3.77734375" style="12" customWidth="1"/>
    <col min="31" max="31" width="7.77734375" style="12" customWidth="1"/>
    <col min="32" max="32" width="4.77734375" style="12" customWidth="1"/>
    <col min="33" max="33" width="3.77734375" style="12"/>
    <col min="34" max="34" width="15.5546875" style="12" bestFit="1" customWidth="1"/>
    <col min="35" max="35" width="100.77734375" style="12" customWidth="1"/>
    <col min="36" max="40" width="3.77734375" style="12"/>
    <col min="41" max="41" width="3.77734375" style="12" customWidth="1"/>
    <col min="42" max="16384" width="3.77734375" style="12"/>
  </cols>
  <sheetData>
    <row r="1" spans="1:35" ht="25.05" customHeight="1" x14ac:dyDescent="0.3">
      <c r="A1" s="65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1"/>
    </row>
    <row r="2" spans="1:35" ht="16.05" customHeight="1" x14ac:dyDescent="0.3">
      <c r="A2" s="66"/>
      <c r="B2" s="28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29"/>
      <c r="AF2" s="14"/>
    </row>
    <row r="3" spans="1:35" ht="16.05" customHeight="1" x14ac:dyDescent="0.3">
      <c r="A3" s="66"/>
      <c r="B3" s="20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18"/>
      <c r="AF3" s="14"/>
    </row>
    <row r="4" spans="1:35" ht="16.05" customHeight="1" x14ac:dyDescent="0.3">
      <c r="A4" s="66"/>
      <c r="B4" s="20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18"/>
      <c r="AF4" s="14"/>
    </row>
    <row r="5" spans="1:35" ht="16.05" customHeight="1" thickBot="1" x14ac:dyDescent="0.35">
      <c r="A5" s="66"/>
      <c r="B5" s="20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18"/>
      <c r="AF5" s="14"/>
    </row>
    <row r="6" spans="1:35" ht="16.05" customHeight="1" x14ac:dyDescent="0.3">
      <c r="A6" s="66"/>
      <c r="B6" s="20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18"/>
      <c r="AF6" s="14"/>
      <c r="AH6" s="13" t="s">
        <v>52</v>
      </c>
      <c r="AI6" s="38"/>
    </row>
    <row r="7" spans="1:35" ht="16.05" customHeight="1" x14ac:dyDescent="0.3">
      <c r="A7" s="66"/>
      <c r="B7" s="20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18"/>
      <c r="AF7" s="14"/>
      <c r="AH7" s="15" t="s">
        <v>49</v>
      </c>
      <c r="AI7" s="14"/>
    </row>
    <row r="8" spans="1:35" ht="16.05" customHeight="1" x14ac:dyDescent="0.3">
      <c r="A8" s="66"/>
      <c r="B8" s="20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18"/>
      <c r="AF8" s="14"/>
      <c r="AH8" s="15" t="s">
        <v>50</v>
      </c>
      <c r="AI8" s="14"/>
    </row>
    <row r="9" spans="1:35" ht="16.05" customHeight="1" x14ac:dyDescent="0.3">
      <c r="A9" s="66"/>
      <c r="B9" s="20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18"/>
      <c r="AF9" s="14"/>
      <c r="AH9" s="15" t="s">
        <v>51</v>
      </c>
      <c r="AI9" s="14"/>
    </row>
    <row r="10" spans="1:35" ht="16.05" customHeight="1" x14ac:dyDescent="0.3">
      <c r="A10" s="66"/>
      <c r="B10" s="20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18"/>
      <c r="AF10" s="14"/>
      <c r="AH10" s="15" t="s">
        <v>53</v>
      </c>
      <c r="AI10" s="14"/>
    </row>
    <row r="11" spans="1:35" ht="16.05" customHeight="1" x14ac:dyDescent="0.3">
      <c r="A11" s="66"/>
      <c r="B11" s="2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18"/>
      <c r="AF11" s="14"/>
      <c r="AH11" s="15" t="s">
        <v>54</v>
      </c>
      <c r="AI11" s="14"/>
    </row>
    <row r="12" spans="1:35" ht="16.05" customHeight="1" x14ac:dyDescent="0.3">
      <c r="A12" s="66"/>
      <c r="B12" s="20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18"/>
      <c r="AF12" s="14"/>
      <c r="AH12" s="15" t="s">
        <v>55</v>
      </c>
      <c r="AI12" s="14"/>
    </row>
    <row r="13" spans="1:35" ht="16.05" customHeight="1" x14ac:dyDescent="0.3">
      <c r="A13" s="66"/>
      <c r="B13" s="20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18"/>
      <c r="AF13" s="14"/>
      <c r="AH13" s="15" t="s">
        <v>56</v>
      </c>
      <c r="AI13" s="14"/>
    </row>
    <row r="14" spans="1:35" ht="16.05" customHeight="1" x14ac:dyDescent="0.3">
      <c r="A14" s="66"/>
      <c r="B14" s="20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18"/>
      <c r="AF14" s="14"/>
      <c r="AH14" s="15" t="s">
        <v>57</v>
      </c>
      <c r="AI14" s="14"/>
    </row>
    <row r="15" spans="1:35" ht="16.05" customHeight="1" thickBot="1" x14ac:dyDescent="0.35">
      <c r="A15" s="66"/>
      <c r="B15" s="20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18"/>
      <c r="AF15" s="14"/>
      <c r="AH15" s="35" t="s">
        <v>58</v>
      </c>
      <c r="AI15" s="37"/>
    </row>
    <row r="16" spans="1:35" ht="16.05" customHeight="1" x14ac:dyDescent="0.3">
      <c r="A16" s="66"/>
      <c r="B16" s="20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18"/>
      <c r="AF16" s="14"/>
    </row>
    <row r="17" spans="1:32" ht="16.05" customHeight="1" x14ac:dyDescent="0.3">
      <c r="A17" s="66"/>
      <c r="B17" s="20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18"/>
      <c r="AF17" s="14"/>
    </row>
    <row r="18" spans="1:32" ht="16.05" customHeight="1" x14ac:dyDescent="0.3">
      <c r="A18" s="66"/>
      <c r="B18" s="20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18"/>
      <c r="AF18" s="14"/>
    </row>
    <row r="19" spans="1:32" ht="16.05" customHeight="1" x14ac:dyDescent="0.3">
      <c r="A19" s="66"/>
      <c r="B19" s="20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18"/>
      <c r="AF19" s="14"/>
    </row>
    <row r="20" spans="1:32" ht="16.05" customHeight="1" x14ac:dyDescent="0.3">
      <c r="A20" s="66"/>
      <c r="B20" s="20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18"/>
      <c r="AF20" s="14"/>
    </row>
    <row r="21" spans="1:32" ht="16.05" customHeight="1" x14ac:dyDescent="0.3">
      <c r="A21" s="66"/>
      <c r="B21" s="20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18"/>
      <c r="AF21" s="14"/>
    </row>
    <row r="22" spans="1:32" ht="16.05" customHeight="1" x14ac:dyDescent="0.3">
      <c r="A22" s="66"/>
      <c r="B22" s="20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18"/>
      <c r="AF22" s="14"/>
    </row>
    <row r="23" spans="1:32" ht="16.05" customHeight="1" x14ac:dyDescent="0.3">
      <c r="A23" s="66"/>
      <c r="B23" s="20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18"/>
      <c r="AF23" s="14"/>
    </row>
    <row r="24" spans="1:32" ht="16.05" customHeight="1" x14ac:dyDescent="0.3">
      <c r="A24" s="66"/>
      <c r="B24" s="20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18"/>
      <c r="AF24" s="14"/>
    </row>
    <row r="25" spans="1:32" ht="16.05" customHeight="1" x14ac:dyDescent="0.3">
      <c r="A25" s="66"/>
      <c r="B25" s="20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18"/>
      <c r="AF25" s="14"/>
    </row>
    <row r="26" spans="1:32" ht="16.05" customHeight="1" x14ac:dyDescent="0.3">
      <c r="A26" s="66"/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1"/>
      <c r="AF26" s="14"/>
    </row>
    <row r="27" spans="1:32" ht="16.05" customHeight="1" x14ac:dyDescent="0.3">
      <c r="A27" s="66"/>
      <c r="B27" s="72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1"/>
      <c r="AF27" s="14"/>
    </row>
    <row r="28" spans="1:32" ht="25.05" customHeight="1" x14ac:dyDescent="0.3">
      <c r="A28" s="66"/>
      <c r="B28" s="67" t="str">
        <f>H39</f>
        <v>00-01-00</v>
      </c>
      <c r="C28" s="67"/>
      <c r="D28" s="67"/>
      <c r="E28" s="67"/>
      <c r="F28" s="49" t="str">
        <f>UPPER(AE43)</f>
        <v>0</v>
      </c>
      <c r="G28" s="49"/>
      <c r="H28" s="49"/>
      <c r="I28" s="49" t="s">
        <v>19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62"/>
      <c r="AA28" s="63"/>
      <c r="AB28" s="62"/>
      <c r="AC28" s="63"/>
      <c r="AD28" s="62"/>
      <c r="AE28" s="63"/>
      <c r="AF28" s="14"/>
    </row>
    <row r="29" spans="1:32" ht="20.100000000000001" customHeight="1" x14ac:dyDescent="0.3">
      <c r="A29" s="66"/>
      <c r="B29" s="67"/>
      <c r="C29" s="67"/>
      <c r="D29" s="67"/>
      <c r="E29" s="67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64">
        <f>AI7</f>
        <v>0</v>
      </c>
      <c r="AA29" s="49"/>
      <c r="AB29" s="64">
        <f>AI8</f>
        <v>0</v>
      </c>
      <c r="AC29" s="49"/>
      <c r="AD29" s="64">
        <f>AI9</f>
        <v>0</v>
      </c>
      <c r="AE29" s="49"/>
      <c r="AF29" s="14"/>
    </row>
    <row r="30" spans="1:32" ht="26.25" customHeight="1" x14ac:dyDescent="0.3">
      <c r="A30" s="66"/>
      <c r="B30" s="54" t="s">
        <v>20</v>
      </c>
      <c r="C30" s="54"/>
      <c r="D30" s="54"/>
      <c r="E30" s="54"/>
      <c r="F30" s="54" t="s">
        <v>21</v>
      </c>
      <c r="G30" s="54"/>
      <c r="H30" s="54"/>
      <c r="I30" s="54" t="s">
        <v>22</v>
      </c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7" t="s">
        <v>23</v>
      </c>
      <c r="AA30" s="57"/>
      <c r="AB30" s="57" t="s">
        <v>24</v>
      </c>
      <c r="AC30" s="57"/>
      <c r="AD30" s="57" t="s">
        <v>25</v>
      </c>
      <c r="AE30" s="57"/>
      <c r="AF30" s="14"/>
    </row>
    <row r="31" spans="1:32" ht="24" customHeight="1" x14ac:dyDescent="0.3">
      <c r="A31" s="66"/>
      <c r="B31" s="73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74"/>
      <c r="AF31" s="14"/>
    </row>
    <row r="32" spans="1:32" ht="49.5" customHeight="1" x14ac:dyDescent="0.3">
      <c r="A32" s="66"/>
      <c r="B32" s="75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76"/>
      <c r="AF32" s="14"/>
    </row>
    <row r="33" spans="1:32" ht="55.95" customHeight="1" x14ac:dyDescent="0.3">
      <c r="A33" s="66"/>
      <c r="B33" s="60" t="s">
        <v>26</v>
      </c>
      <c r="C33" s="60"/>
      <c r="D33" s="60"/>
      <c r="E33" s="60"/>
      <c r="F33" s="61" t="str">
        <f>UPPER(AI12)</f>
        <v/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14"/>
    </row>
    <row r="34" spans="1:32" ht="55.95" customHeight="1" x14ac:dyDescent="0.3">
      <c r="A34" s="66"/>
      <c r="B34" s="60" t="s">
        <v>27</v>
      </c>
      <c r="C34" s="60"/>
      <c r="D34" s="60"/>
      <c r="E34" s="60"/>
      <c r="F34" s="61" t="str">
        <f>UPPER(AI13)</f>
        <v/>
      </c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14"/>
    </row>
    <row r="35" spans="1:32" ht="68.25" customHeight="1" x14ac:dyDescent="0.3">
      <c r="A35" s="66"/>
      <c r="B35" s="60" t="s">
        <v>28</v>
      </c>
      <c r="C35" s="60"/>
      <c r="D35" s="60"/>
      <c r="E35" s="60"/>
      <c r="F35" s="61" t="str">
        <f>UPPER(AI11)</f>
        <v/>
      </c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14"/>
    </row>
    <row r="36" spans="1:32" ht="56.1" customHeight="1" x14ac:dyDescent="0.3">
      <c r="A36" s="66"/>
      <c r="B36" s="60" t="s">
        <v>29</v>
      </c>
      <c r="C36" s="60"/>
      <c r="D36" s="60"/>
      <c r="E36" s="60"/>
      <c r="F36" s="49" t="s">
        <v>30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14"/>
    </row>
    <row r="37" spans="1:32" ht="22.5" customHeight="1" x14ac:dyDescent="0.3">
      <c r="A37" s="16"/>
      <c r="B37" s="54" t="s">
        <v>31</v>
      </c>
      <c r="C37" s="54"/>
      <c r="D37" s="55" t="str">
        <f>LEFT(AI14,8)</f>
        <v/>
      </c>
      <c r="E37" s="55"/>
      <c r="F37" s="55"/>
      <c r="G37" s="55"/>
      <c r="H37" s="55"/>
      <c r="I37" s="55"/>
      <c r="J37" s="56" t="s">
        <v>32</v>
      </c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14"/>
    </row>
    <row r="38" spans="1:32" ht="20.25" customHeight="1" x14ac:dyDescent="0.3">
      <c r="A38" s="16"/>
      <c r="B38" s="49"/>
      <c r="C38" s="49"/>
      <c r="D38" s="54" t="s">
        <v>33</v>
      </c>
      <c r="E38" s="54"/>
      <c r="F38" s="54" t="s">
        <v>34</v>
      </c>
      <c r="G38" s="54"/>
      <c r="H38" s="54" t="s">
        <v>20</v>
      </c>
      <c r="I38" s="54"/>
      <c r="J38" s="53" t="str">
        <f>"INSTRUMENT LIST FOR "&amp;UPPER(AI15)</f>
        <v xml:space="preserve">INSTRUMENT LIST FOR 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14"/>
    </row>
    <row r="39" spans="1:32" ht="25.05" customHeight="1" x14ac:dyDescent="0.3">
      <c r="A39" s="16"/>
      <c r="B39" s="54" t="s">
        <v>35</v>
      </c>
      <c r="C39" s="54"/>
      <c r="D39" s="49">
        <f>Z29</f>
        <v>0</v>
      </c>
      <c r="E39" s="49"/>
      <c r="F39" s="50"/>
      <c r="G39" s="51"/>
      <c r="H39" s="52" t="str">
        <f>TEXT(AI6,"DD-MM-YY")</f>
        <v>00-01-00</v>
      </c>
      <c r="I39" s="52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14"/>
    </row>
    <row r="40" spans="1:32" ht="25.05" customHeight="1" x14ac:dyDescent="0.3">
      <c r="A40" s="16"/>
      <c r="B40" s="54" t="s">
        <v>36</v>
      </c>
      <c r="C40" s="54"/>
      <c r="D40" s="49">
        <f>AB29</f>
        <v>0</v>
      </c>
      <c r="E40" s="49"/>
      <c r="F40" s="50"/>
      <c r="G40" s="51"/>
      <c r="H40" s="52" t="e">
        <f>H39+1</f>
        <v>#VALUE!</v>
      </c>
      <c r="I40" s="52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14"/>
    </row>
    <row r="41" spans="1:32" ht="25.05" customHeight="1" x14ac:dyDescent="0.3">
      <c r="A41" s="16"/>
      <c r="B41" s="54" t="s">
        <v>37</v>
      </c>
      <c r="C41" s="54"/>
      <c r="D41" s="49">
        <f>AD29</f>
        <v>0</v>
      </c>
      <c r="E41" s="49"/>
      <c r="F41" s="50"/>
      <c r="G41" s="50"/>
      <c r="H41" s="52" t="e">
        <f>H40</f>
        <v>#VALUE!</v>
      </c>
      <c r="I41" s="52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14"/>
    </row>
    <row r="42" spans="1:32" ht="25.05" customHeight="1" x14ac:dyDescent="0.3">
      <c r="A42" s="16"/>
      <c r="B42" s="28"/>
      <c r="C42" s="17"/>
      <c r="D42" s="17"/>
      <c r="E42" s="17"/>
      <c r="F42" s="17"/>
      <c r="G42" s="17"/>
      <c r="H42" s="17"/>
      <c r="I42" s="1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18"/>
      <c r="AB42" s="47" t="s">
        <v>38</v>
      </c>
      <c r="AC42" s="48"/>
      <c r="AD42" s="47" t="s">
        <v>39</v>
      </c>
      <c r="AE42" s="48"/>
      <c r="AF42" s="14"/>
    </row>
    <row r="43" spans="1:32" ht="25.05" customHeight="1" x14ac:dyDescent="0.3">
      <c r="A43" s="16"/>
      <c r="B43" s="77" t="s">
        <v>40</v>
      </c>
      <c r="C43" s="7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20"/>
      <c r="AC43" s="21" t="s">
        <v>41</v>
      </c>
      <c r="AD43" s="22"/>
      <c r="AE43" s="79">
        <f>AI10</f>
        <v>0</v>
      </c>
      <c r="AF43" s="14"/>
    </row>
    <row r="44" spans="1:32" ht="25.05" customHeight="1" x14ac:dyDescent="0.3">
      <c r="A44" s="16"/>
      <c r="B44" s="80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4"/>
      <c r="AB44" s="25"/>
      <c r="AC44" s="26"/>
      <c r="AD44" s="27"/>
      <c r="AE44" s="81"/>
      <c r="AF44" s="14"/>
    </row>
    <row r="45" spans="1:32" ht="15" customHeight="1" x14ac:dyDescent="0.3">
      <c r="A45" s="16"/>
      <c r="B45" s="2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29"/>
      <c r="AF45" s="14"/>
    </row>
    <row r="46" spans="1:32" ht="20.100000000000001" customHeight="1" x14ac:dyDescent="0.3">
      <c r="A46" s="16"/>
      <c r="B46" s="20"/>
      <c r="C46" s="68"/>
      <c r="D46" s="68"/>
      <c r="E46" s="68"/>
      <c r="F46" s="28"/>
      <c r="G46" s="17"/>
      <c r="H46" s="17"/>
      <c r="I46" s="17"/>
      <c r="J46" s="17"/>
      <c r="K46" s="17"/>
      <c r="L46" s="29"/>
      <c r="M46" s="28"/>
      <c r="N46" s="17"/>
      <c r="O46" s="17"/>
      <c r="P46" s="29"/>
      <c r="Q46" s="28"/>
      <c r="R46" s="17"/>
      <c r="S46" s="17"/>
      <c r="T46" s="17"/>
      <c r="U46" s="29"/>
      <c r="V46" s="28"/>
      <c r="W46" s="17"/>
      <c r="X46" s="17"/>
      <c r="Y46" s="17"/>
      <c r="Z46" s="29"/>
      <c r="AA46" s="28"/>
      <c r="AB46" s="17"/>
      <c r="AC46" s="17"/>
      <c r="AD46" s="17"/>
      <c r="AE46" s="29"/>
      <c r="AF46" s="14"/>
    </row>
    <row r="47" spans="1:32" ht="16.05" customHeight="1" x14ac:dyDescent="0.3">
      <c r="A47" s="16"/>
      <c r="B47" s="77" t="s">
        <v>42</v>
      </c>
      <c r="C47" s="82"/>
      <c r="D47" s="82"/>
      <c r="E47" s="82"/>
      <c r="F47" s="20"/>
      <c r="G47" s="39"/>
      <c r="H47" s="83" t="s">
        <v>43</v>
      </c>
      <c r="I47" s="84"/>
      <c r="J47" s="84"/>
      <c r="K47" s="84"/>
      <c r="L47" s="30"/>
      <c r="M47" s="31"/>
      <c r="N47" s="39"/>
      <c r="O47" s="83" t="s">
        <v>44</v>
      </c>
      <c r="P47" s="30"/>
      <c r="Q47" s="20"/>
      <c r="R47" s="39"/>
      <c r="S47" s="83" t="s">
        <v>45</v>
      </c>
      <c r="T47" s="84"/>
      <c r="U47" s="30"/>
      <c r="V47" s="31"/>
      <c r="W47" s="40" t="s">
        <v>59</v>
      </c>
      <c r="X47" s="83" t="s">
        <v>46</v>
      </c>
      <c r="Y47" s="84"/>
      <c r="Z47" s="30"/>
      <c r="AA47" s="20"/>
      <c r="AB47" s="39"/>
      <c r="AC47" s="83" t="s">
        <v>47</v>
      </c>
      <c r="AD47" s="68"/>
      <c r="AE47" s="18"/>
      <c r="AF47" s="14"/>
    </row>
    <row r="48" spans="1:32" ht="20.100000000000001" customHeight="1" x14ac:dyDescent="0.3">
      <c r="A48" s="16"/>
      <c r="B48" s="85"/>
      <c r="C48" s="82"/>
      <c r="D48" s="82"/>
      <c r="E48" s="82"/>
      <c r="F48" s="32"/>
      <c r="G48" s="33"/>
      <c r="H48" s="33"/>
      <c r="I48" s="33"/>
      <c r="J48" s="33"/>
      <c r="K48" s="33"/>
      <c r="L48" s="34"/>
      <c r="M48" s="32"/>
      <c r="N48" s="33"/>
      <c r="O48" s="33"/>
      <c r="P48" s="34"/>
      <c r="Q48" s="32"/>
      <c r="R48" s="33"/>
      <c r="S48" s="33"/>
      <c r="T48" s="33"/>
      <c r="U48" s="34"/>
      <c r="V48" s="32"/>
      <c r="W48" s="33"/>
      <c r="X48" s="33"/>
      <c r="Y48" s="33"/>
      <c r="Z48" s="34"/>
      <c r="AA48" s="32"/>
      <c r="AB48" s="33"/>
      <c r="AC48" s="33"/>
      <c r="AD48" s="33"/>
      <c r="AE48" s="24"/>
      <c r="AF48" s="14"/>
    </row>
    <row r="49" spans="1:32" ht="25.05" customHeight="1" x14ac:dyDescent="0.3">
      <c r="A49" s="16"/>
      <c r="B49" s="80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4"/>
      <c r="AF49" s="14"/>
    </row>
    <row r="50" spans="1:32" ht="25.05" customHeight="1" thickBot="1" x14ac:dyDescent="0.35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7"/>
    </row>
  </sheetData>
  <mergeCells count="59">
    <mergeCell ref="A1:A36"/>
    <mergeCell ref="B26:E26"/>
    <mergeCell ref="F26:H26"/>
    <mergeCell ref="I26:Y26"/>
    <mergeCell ref="Z26:AA26"/>
    <mergeCell ref="B28:E29"/>
    <mergeCell ref="F28:H29"/>
    <mergeCell ref="I28:Y29"/>
    <mergeCell ref="Z28:AA28"/>
    <mergeCell ref="B35:E35"/>
    <mergeCell ref="F35:AE35"/>
    <mergeCell ref="B36:E36"/>
    <mergeCell ref="F36:AE36"/>
    <mergeCell ref="AD26:AE26"/>
    <mergeCell ref="B27:E27"/>
    <mergeCell ref="F27:H27"/>
    <mergeCell ref="I27:Y27"/>
    <mergeCell ref="Z27:AA27"/>
    <mergeCell ref="AB27:AC27"/>
    <mergeCell ref="AD27:AE27"/>
    <mergeCell ref="AB26:AC26"/>
    <mergeCell ref="AB28:AC28"/>
    <mergeCell ref="AD28:AE28"/>
    <mergeCell ref="Z29:AA29"/>
    <mergeCell ref="AB29:AC29"/>
    <mergeCell ref="AD29:AE29"/>
    <mergeCell ref="AD30:AE30"/>
    <mergeCell ref="B31:AE32"/>
    <mergeCell ref="B33:E33"/>
    <mergeCell ref="F33:AE33"/>
    <mergeCell ref="B34:E34"/>
    <mergeCell ref="F34:AE34"/>
    <mergeCell ref="B30:E30"/>
    <mergeCell ref="F30:H30"/>
    <mergeCell ref="I30:Y30"/>
    <mergeCell ref="Z30:AA30"/>
    <mergeCell ref="AB30:AC30"/>
    <mergeCell ref="B37:C37"/>
    <mergeCell ref="D37:I37"/>
    <mergeCell ref="J37:AE37"/>
    <mergeCell ref="B41:C41"/>
    <mergeCell ref="D41:E41"/>
    <mergeCell ref="F41:G41"/>
    <mergeCell ref="H41:I41"/>
    <mergeCell ref="B38:C38"/>
    <mergeCell ref="D38:E38"/>
    <mergeCell ref="F38:G38"/>
    <mergeCell ref="H38:I38"/>
    <mergeCell ref="B39:C39"/>
    <mergeCell ref="D39:E39"/>
    <mergeCell ref="F39:G39"/>
    <mergeCell ref="H39:I39"/>
    <mergeCell ref="B40:C40"/>
    <mergeCell ref="AB42:AC42"/>
    <mergeCell ref="AD42:AE42"/>
    <mergeCell ref="D40:E40"/>
    <mergeCell ref="F40:G40"/>
    <mergeCell ref="H40:I40"/>
    <mergeCell ref="J38:AE41"/>
  </mergeCells>
  <printOptions horizontalCentered="1"/>
  <pageMargins left="0.25" right="0.25" top="0.75" bottom="0.75" header="0.3" footer="0.3"/>
  <pageSetup paperSize="9" scale="63" fitToHeight="0" orientation="portrait" r:id="rId1"/>
  <headerFooter alignWithMargins="0">
    <oddFooter>&amp;L&amp;1#&amp;"Calibri"&amp;8&amp;K000000Sensitivity: LNT Construction Internal Use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"/>
  <sheetViews>
    <sheetView showGridLines="0" zoomScale="40" zoomScaleNormal="40" zoomScaleSheetLayoutView="40" workbookViewId="0">
      <selection activeCell="C1" sqref="C1:D1"/>
    </sheetView>
  </sheetViews>
  <sheetFormatPr defaultColWidth="9.21875" defaultRowHeight="32.1" customHeight="1" x14ac:dyDescent="0.3"/>
  <cols>
    <col min="1" max="1" width="12.109375" style="90" customWidth="1"/>
    <col min="2" max="2" width="15.77734375" style="90" customWidth="1"/>
    <col min="3" max="4" width="45.77734375" style="90" customWidth="1"/>
    <col min="5" max="5" width="80.77734375" style="90" customWidth="1"/>
    <col min="6" max="6" width="9.77734375" style="90" bestFit="1" customWidth="1"/>
    <col min="7" max="7" width="21" style="90" customWidth="1"/>
    <col min="8" max="8" width="19" style="90" customWidth="1"/>
    <col min="9" max="9" width="61.21875" style="90" customWidth="1"/>
    <col min="10" max="10" width="26.21875" style="90" bestFit="1" customWidth="1"/>
    <col min="11" max="11" width="21.21875" style="90" customWidth="1"/>
    <col min="12" max="12" width="17.44140625" style="90" customWidth="1"/>
    <col min="13" max="13" width="14.77734375" style="90" customWidth="1"/>
    <col min="14" max="14" width="20.21875" style="90" customWidth="1"/>
    <col min="15" max="15" width="16" style="90" customWidth="1"/>
    <col min="16" max="16" width="22.5546875" style="90" customWidth="1"/>
    <col min="17" max="17" width="11.6640625" style="90" bestFit="1" customWidth="1"/>
    <col min="18" max="18" width="23.109375" style="90" bestFit="1" customWidth="1"/>
    <col min="19" max="19" width="10.77734375" style="90" bestFit="1" customWidth="1"/>
    <col min="20" max="20" width="17.6640625" style="90" customWidth="1"/>
    <col min="21" max="21" width="24" style="90" customWidth="1"/>
    <col min="22" max="22" width="23.6640625" style="90" customWidth="1"/>
    <col min="23" max="16384" width="9.21875" style="90"/>
  </cols>
  <sheetData>
    <row r="1" spans="1:22" s="1" customFormat="1" ht="70.2" customHeight="1" x14ac:dyDescent="0.45">
      <c r="A1" s="41"/>
      <c r="B1" s="41"/>
      <c r="C1" s="44" t="s">
        <v>4</v>
      </c>
      <c r="D1" s="44"/>
      <c r="E1" s="44" t="str">
        <f>"PROJECT : "&amp;Cover!F35</f>
        <v xml:space="preserve">PROJECT : 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 t="s">
        <v>12</v>
      </c>
      <c r="R1" s="44"/>
      <c r="S1" s="44"/>
      <c r="T1" s="44"/>
    </row>
    <row r="2" spans="1:22" s="1" customFormat="1" ht="70.2" customHeight="1" x14ac:dyDescent="0.45">
      <c r="A2" s="42" t="s">
        <v>0</v>
      </c>
      <c r="B2" s="42"/>
      <c r="C2" s="44" t="str">
        <f>_xlfn.SINGLE(Cover!F33)</f>
        <v/>
      </c>
      <c r="D2" s="44"/>
      <c r="E2" s="44" t="str">
        <f>"DOCUMENT NAME: "&amp;Cover!J38</f>
        <v xml:space="preserve">DOCUMENT NAME: INSTRUMENT LIST FOR 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 t="str">
        <f>"DATE : "&amp;Cover!H39</f>
        <v>DATE : 00-01-00</v>
      </c>
      <c r="R2" s="44"/>
      <c r="S2" s="44"/>
      <c r="T2" s="44"/>
    </row>
    <row r="3" spans="1:22" s="1" customFormat="1" ht="70.2" customHeight="1" x14ac:dyDescent="0.45">
      <c r="A3" s="42" t="s">
        <v>1</v>
      </c>
      <c r="B3" s="42"/>
      <c r="C3" s="44" t="str">
        <f>_xlfn.SINGLE(Cover!F34)</f>
        <v/>
      </c>
      <c r="D3" s="44"/>
      <c r="E3" s="44" t="str">
        <f>"DOCUMENT NO:  "&amp;_xlfn.CONCAT(Cover!D43:AA43)&amp;"_ Rev. "&amp;Cover!AE43</f>
        <v>DOCUMENT NO:  _ Rev. 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 t="s">
        <v>60</v>
      </c>
      <c r="R3" s="44"/>
      <c r="S3" s="44"/>
      <c r="T3" s="44"/>
    </row>
    <row r="4" spans="1:22" s="1" customFormat="1" ht="46.8" customHeight="1" x14ac:dyDescent="0.45">
      <c r="A4" s="43" t="s">
        <v>2</v>
      </c>
      <c r="B4" s="43" t="s">
        <v>3</v>
      </c>
      <c r="C4" s="43" t="s">
        <v>5</v>
      </c>
      <c r="D4" s="43" t="s">
        <v>6</v>
      </c>
      <c r="E4" s="43" t="s">
        <v>7</v>
      </c>
      <c r="F4" s="43" t="s">
        <v>17</v>
      </c>
      <c r="G4" s="43" t="s">
        <v>8</v>
      </c>
      <c r="H4" s="43" t="s">
        <v>9</v>
      </c>
      <c r="I4" s="43"/>
      <c r="J4" s="43" t="s">
        <v>16</v>
      </c>
      <c r="K4" s="43" t="s">
        <v>10</v>
      </c>
      <c r="L4" s="43"/>
      <c r="M4" s="43"/>
      <c r="N4" s="43" t="s">
        <v>11</v>
      </c>
      <c r="O4" s="43"/>
      <c r="P4" s="43"/>
      <c r="Q4" s="43" t="s">
        <v>13</v>
      </c>
      <c r="R4" s="43" t="s">
        <v>18</v>
      </c>
      <c r="S4" s="43" t="s">
        <v>14</v>
      </c>
      <c r="T4" s="43" t="s">
        <v>15</v>
      </c>
      <c r="U4" s="86" t="str">
        <f>UPPER("Velocity")&amp;"
(m/s)"</f>
        <v>VELOCITY
(m/s)</v>
      </c>
      <c r="V4" s="87" t="str">
        <f>UPPER("FM Size")&amp;"
(mm)"</f>
        <v>FM SIZE
(mm)</v>
      </c>
    </row>
    <row r="5" spans="1:22" s="1" customFormat="1" ht="46.8" customHeight="1" x14ac:dyDescent="0.45">
      <c r="A5" s="43"/>
      <c r="B5" s="43"/>
      <c r="C5" s="43"/>
      <c r="D5" s="43"/>
      <c r="E5" s="43"/>
      <c r="F5" s="43"/>
      <c r="G5" s="43"/>
      <c r="H5" s="43"/>
      <c r="I5" s="43"/>
      <c r="J5" s="43"/>
      <c r="K5" s="9" t="s">
        <v>61</v>
      </c>
      <c r="L5" s="9" t="s">
        <v>62</v>
      </c>
      <c r="M5" s="9" t="s">
        <v>63</v>
      </c>
      <c r="N5" s="9" t="s">
        <v>61</v>
      </c>
      <c r="O5" s="9" t="s">
        <v>62</v>
      </c>
      <c r="P5" s="9" t="s">
        <v>64</v>
      </c>
      <c r="Q5" s="43"/>
      <c r="R5" s="43"/>
      <c r="S5" s="43"/>
      <c r="T5" s="43"/>
      <c r="U5" s="88"/>
      <c r="V5" s="89"/>
    </row>
    <row r="6" spans="1:22" ht="46.8" customHeight="1" x14ac:dyDescent="0.3">
      <c r="A6" s="2"/>
      <c r="B6" s="3"/>
      <c r="C6" s="3"/>
      <c r="D6" s="3"/>
      <c r="E6" s="91"/>
      <c r="F6" s="3"/>
      <c r="G6" s="3"/>
      <c r="H6" s="45"/>
      <c r="I6" s="45"/>
      <c r="J6" s="3"/>
      <c r="K6" s="4"/>
      <c r="L6" s="4"/>
      <c r="M6" s="4"/>
      <c r="N6" s="4"/>
      <c r="O6" s="4"/>
      <c r="P6" s="4"/>
      <c r="Q6" s="5"/>
      <c r="R6" s="3"/>
      <c r="S6" s="3"/>
      <c r="T6" s="3"/>
    </row>
    <row r="7" spans="1:22" ht="46.8" customHeight="1" x14ac:dyDescent="0.3">
      <c r="A7" s="2"/>
      <c r="B7" s="3"/>
      <c r="C7" s="3"/>
      <c r="D7" s="3"/>
      <c r="E7" s="91"/>
      <c r="F7" s="3"/>
      <c r="G7" s="3"/>
      <c r="H7" s="46"/>
      <c r="I7" s="46"/>
      <c r="J7" s="3"/>
      <c r="K7" s="4"/>
      <c r="L7" s="4"/>
      <c r="M7" s="4"/>
      <c r="N7" s="4"/>
      <c r="O7" s="6"/>
      <c r="P7" s="4"/>
      <c r="Q7" s="7"/>
      <c r="R7" s="3"/>
      <c r="S7" s="3"/>
      <c r="T7" s="3"/>
    </row>
    <row r="8" spans="1:22" ht="46.8" customHeight="1" x14ac:dyDescent="0.3">
      <c r="A8" s="2"/>
      <c r="B8" s="3"/>
      <c r="C8" s="3"/>
      <c r="D8" s="3"/>
      <c r="E8" s="91"/>
      <c r="F8" s="3"/>
      <c r="G8" s="3"/>
      <c r="H8" s="46"/>
      <c r="I8" s="46"/>
      <c r="J8" s="3"/>
      <c r="K8" s="4"/>
      <c r="L8" s="4"/>
      <c r="M8" s="4"/>
      <c r="N8" s="4"/>
      <c r="O8" s="4"/>
      <c r="P8" s="4"/>
      <c r="Q8" s="7"/>
      <c r="R8" s="3"/>
      <c r="S8" s="3"/>
      <c r="T8" s="3"/>
    </row>
    <row r="9" spans="1:22" ht="46.8" customHeight="1" x14ac:dyDescent="0.3">
      <c r="A9" s="2"/>
      <c r="B9" s="3"/>
      <c r="C9" s="3"/>
      <c r="D9" s="3"/>
      <c r="E9" s="91"/>
      <c r="F9" s="3"/>
      <c r="G9" s="3"/>
      <c r="H9" s="46"/>
      <c r="I9" s="46"/>
      <c r="J9" s="3"/>
      <c r="K9" s="4"/>
      <c r="L9" s="4"/>
      <c r="M9" s="4"/>
      <c r="N9" s="4"/>
      <c r="O9" s="4"/>
      <c r="P9" s="4"/>
      <c r="Q9" s="7"/>
      <c r="R9" s="3"/>
      <c r="S9" s="3"/>
      <c r="T9" s="3"/>
    </row>
    <row r="10" spans="1:22" ht="46.8" customHeight="1" x14ac:dyDescent="0.3">
      <c r="A10" s="2"/>
      <c r="B10" s="3"/>
      <c r="C10" s="3"/>
      <c r="D10" s="3"/>
      <c r="E10" s="91"/>
      <c r="F10" s="3"/>
      <c r="G10" s="3"/>
      <c r="H10" s="46"/>
      <c r="I10" s="46"/>
      <c r="J10" s="3"/>
      <c r="K10" s="4"/>
      <c r="L10" s="4"/>
      <c r="M10" s="4"/>
      <c r="N10" s="4"/>
      <c r="O10" s="4"/>
      <c r="P10" s="4"/>
      <c r="Q10" s="8"/>
      <c r="R10" s="3"/>
      <c r="S10" s="3"/>
      <c r="T10" s="3"/>
    </row>
    <row r="11" spans="1:22" ht="46.8" customHeight="1" x14ac:dyDescent="0.3">
      <c r="A11" s="2"/>
      <c r="B11" s="3"/>
      <c r="C11" s="3"/>
      <c r="D11" s="3"/>
      <c r="E11" s="91"/>
      <c r="F11" s="3"/>
      <c r="G11" s="3"/>
      <c r="H11" s="46"/>
      <c r="I11" s="46"/>
      <c r="J11" s="3"/>
      <c r="K11" s="4"/>
      <c r="L11" s="4"/>
      <c r="M11" s="4"/>
      <c r="N11" s="4"/>
      <c r="O11" s="4"/>
      <c r="P11" s="4"/>
      <c r="Q11" s="7"/>
      <c r="R11" s="3"/>
      <c r="S11" s="3"/>
      <c r="T11" s="3"/>
    </row>
    <row r="12" spans="1:22" ht="46.8" customHeight="1" x14ac:dyDescent="0.3">
      <c r="A12" s="2"/>
      <c r="B12" s="3"/>
      <c r="C12" s="3"/>
      <c r="D12" s="3"/>
      <c r="E12" s="91"/>
      <c r="F12" s="3"/>
      <c r="G12" s="3"/>
      <c r="H12" s="46"/>
      <c r="I12" s="46"/>
      <c r="J12" s="3"/>
      <c r="K12" s="4"/>
      <c r="L12" s="4"/>
      <c r="M12" s="4"/>
      <c r="N12" s="4"/>
      <c r="O12" s="4"/>
      <c r="P12" s="4"/>
      <c r="Q12" s="5"/>
      <c r="R12" s="3"/>
      <c r="S12" s="3"/>
      <c r="T12" s="3"/>
    </row>
    <row r="13" spans="1:22" ht="46.8" customHeight="1" x14ac:dyDescent="0.3">
      <c r="A13" s="2"/>
      <c r="B13" s="3"/>
      <c r="C13" s="3"/>
      <c r="D13" s="3"/>
      <c r="E13" s="91"/>
      <c r="F13" s="3"/>
      <c r="G13" s="3"/>
      <c r="H13" s="46"/>
      <c r="I13" s="46"/>
      <c r="J13" s="3"/>
      <c r="K13" s="4"/>
      <c r="L13" s="4"/>
      <c r="M13" s="4"/>
      <c r="N13" s="4"/>
      <c r="O13" s="4"/>
      <c r="P13" s="4"/>
      <c r="Q13" s="7"/>
      <c r="R13" s="3"/>
      <c r="S13" s="3"/>
      <c r="T13" s="3"/>
    </row>
    <row r="14" spans="1:22" ht="46.8" customHeight="1" x14ac:dyDescent="0.3">
      <c r="A14" s="2"/>
      <c r="B14" s="3"/>
      <c r="C14" s="3"/>
      <c r="D14" s="3"/>
      <c r="E14" s="91"/>
      <c r="F14" s="3"/>
      <c r="G14" s="3"/>
      <c r="H14" s="46"/>
      <c r="I14" s="46"/>
      <c r="J14" s="3"/>
      <c r="K14" s="4"/>
      <c r="L14" s="4"/>
      <c r="M14" s="4"/>
      <c r="N14" s="4"/>
      <c r="O14" s="4"/>
      <c r="P14" s="4"/>
      <c r="Q14" s="7"/>
      <c r="R14" s="3"/>
      <c r="S14" s="3"/>
      <c r="T14" s="3"/>
    </row>
    <row r="17" spans="15:15" ht="32.1" customHeight="1" x14ac:dyDescent="0.3">
      <c r="O17" s="92"/>
    </row>
  </sheetData>
  <autoFilter ref="A5:T14" xr:uid="{00000000-0001-0000-0000-000000000000}">
    <filterColumn colId="7" showButton="0"/>
  </autoFilter>
  <mergeCells count="38">
    <mergeCell ref="U4:U5"/>
    <mergeCell ref="V4:V5"/>
    <mergeCell ref="H14:I14"/>
    <mergeCell ref="H8:I8"/>
    <mergeCell ref="H9:I9"/>
    <mergeCell ref="H12:I12"/>
    <mergeCell ref="H13:I13"/>
    <mergeCell ref="H10:I10"/>
    <mergeCell ref="H11:I11"/>
    <mergeCell ref="Q1:T1"/>
    <mergeCell ref="Q2:T2"/>
    <mergeCell ref="Q3:T3"/>
    <mergeCell ref="Q4:Q5"/>
    <mergeCell ref="R4:R5"/>
    <mergeCell ref="S4:S5"/>
    <mergeCell ref="T4:T5"/>
    <mergeCell ref="H6:I6"/>
    <mergeCell ref="H7:I7"/>
    <mergeCell ref="J4:J5"/>
    <mergeCell ref="K4:M4"/>
    <mergeCell ref="N4:P4"/>
    <mergeCell ref="E1:P1"/>
    <mergeCell ref="E2:P2"/>
    <mergeCell ref="E3:P3"/>
    <mergeCell ref="E4:E5"/>
    <mergeCell ref="F4:F5"/>
    <mergeCell ref="G4:G5"/>
    <mergeCell ref="H4:I5"/>
    <mergeCell ref="C1:D1"/>
    <mergeCell ref="C2:D2"/>
    <mergeCell ref="C3:D3"/>
    <mergeCell ref="C4:C5"/>
    <mergeCell ref="D4:D5"/>
    <mergeCell ref="A1:B1"/>
    <mergeCell ref="A2:B2"/>
    <mergeCell ref="A3:B3"/>
    <mergeCell ref="A4:A5"/>
    <mergeCell ref="B4:B5"/>
  </mergeCells>
  <printOptions horizontalCentered="1"/>
  <pageMargins left="0.25" right="0.25" top="0.75" bottom="0.75" header="0.3" footer="0.3"/>
  <pageSetup paperSize="8" scale="39" fitToHeight="0" orientation="landscape" r:id="rId1"/>
  <headerFooter>
    <oddFooter>&amp;C&amp;P of &amp;N&amp;L&amp;1#&amp;"Calibri"&amp;8&amp;K000000Sensitivity: LNT Construction Internal Use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D52BC7E8184438FD9CEFD6A0EE5FB" ma:contentTypeVersion="0" ma:contentTypeDescription="Create a new document." ma:contentTypeScope="" ma:versionID="1113551061f158c50a023635f16c7de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98defa22adf859f27256ce6af68d5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4AB93-7434-4211-AA1D-2EDAA6D116B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56FD391-0237-47AD-A2A3-39BBBF4B7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340561-C3E0-4C23-9EC4-7E4CFC759D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Cover</vt:lpstr>
      <vt:lpstr>Instrument List</vt:lpstr>
      <vt:lpstr>Cover!Print_Area</vt:lpstr>
      <vt:lpstr>'Instrument List'!Print_Area</vt:lpstr>
      <vt:lpstr>'Instrument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Nandhini N M</dc:creator>
  <cp:lastModifiedBy>MOHD ZAID KHAN</cp:lastModifiedBy>
  <cp:lastPrinted>2026-04-07T11:14:34Z</cp:lastPrinted>
  <dcterms:created xsi:type="dcterms:W3CDTF">2021-01-08T08:45:06Z</dcterms:created>
  <dcterms:modified xsi:type="dcterms:W3CDTF">2026-04-08T04:22:39Z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iteId">
    <vt:lpwstr>264b9899-fe1b-430b-9509-2154878d5774</vt:lpwstr>
  </property>
  <property fmtid="{D5CDD505-2E9C-101B-9397-08002B2CF9AE}" pid="4" name="MSIP_Label_ac52bb50-aef2-4dc8-bb7f-e0da22648362_Owner">
    <vt:lpwstr>NANDHININM@lntecc.com</vt:lpwstr>
  </property>
  <property fmtid="{D5CDD505-2E9C-101B-9397-08002B2CF9AE}" pid="5" name="MSIP_Label_ac52bb50-aef2-4dc8-bb7f-e0da22648362_SetDate">
    <vt:lpwstr>2020-02-13T10:56:35.0519941Z</vt:lpwstr>
  </property>
  <property fmtid="{D5CDD505-2E9C-101B-9397-08002B2CF9AE}" pid="6" name="MSIP_Label_ac52bb50-aef2-4dc8-bb7f-e0da22648362_Name">
    <vt:lpwstr>LTC Internal Use</vt:lpwstr>
  </property>
  <property fmtid="{D5CDD505-2E9C-101B-9397-08002B2CF9AE}" pid="7" name="MSIP_Label_ac52bb50-aef2-4dc8-bb7f-e0da22648362_Application">
    <vt:lpwstr>Microsoft Azure Information Protection</vt:lpwstr>
  </property>
  <property fmtid="{D5CDD505-2E9C-101B-9397-08002B2CF9AE}" pid="8" name="MSIP_Label_ac52bb50-aef2-4dc8-bb7f-e0da22648362_Extended_MSFT_Method">
    <vt:lpwstr>Automatic</vt:lpwstr>
  </property>
  <property fmtid="{D5CDD505-2E9C-101B-9397-08002B2CF9AE}" pid="9" name="Sensitivity">
    <vt:lpwstr>LTC Internal Use</vt:lpwstr>
  </property>
  <property fmtid="{D5CDD505-2E9C-101B-9397-08002B2CF9AE}" pid="10" name="ContentTypeId">
    <vt:lpwstr>0x010100DC7D52BC7E8184438FD9CEFD6A0EE5FB</vt:lpwstr>
  </property>
</Properties>
</file>