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D:\CIS_Automation\Program_v0.2\templates\"/>
    </mc:Choice>
  </mc:AlternateContent>
  <xr:revisionPtr revIDLastSave="0" documentId="13_ncr:1_{4D722A23-A984-42BD-A002-8B27CD17EC4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" sheetId="10" r:id="rId1"/>
    <sheet name="IO List" sheetId="7" r:id="rId2"/>
  </sheets>
  <definedNames>
    <definedName name="_xlnm._FilterDatabase" localSheetId="1" hidden="1">'IO List'!$A$5:$N$513</definedName>
    <definedName name="_xlnm.Print_Area" localSheetId="0">Cover!$A$1:$AF$51</definedName>
    <definedName name="_xlnm.Print_Area" localSheetId="1">'IO List'!$A$1:$N$525</definedName>
    <definedName name="_xlnm.Print_Titles" localSheetId="1">'IO List'!$1:$5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" i="7" l="1"/>
  <c r="D3" i="7"/>
  <c r="A3" i="7"/>
  <c r="B2" i="7"/>
  <c r="D2" i="7"/>
  <c r="D1" i="7"/>
  <c r="AE44" i="10" l="1"/>
  <c r="H40" i="10"/>
  <c r="H41" i="10" s="1"/>
  <c r="H42" i="10" s="1"/>
  <c r="J39" i="10"/>
  <c r="D38" i="10"/>
  <c r="F36" i="10"/>
  <c r="F35" i="10"/>
  <c r="F34" i="10"/>
  <c r="AD30" i="10"/>
  <c r="D42" i="10" s="1"/>
  <c r="AB30" i="10"/>
  <c r="D41" i="10" s="1"/>
  <c r="Z30" i="10"/>
  <c r="D40" i="10" s="1"/>
  <c r="F29" i="10"/>
  <c r="B29" i="10" l="1"/>
  <c r="K517" i="7"/>
  <c r="I517" i="7"/>
  <c r="J517" i="7"/>
  <c r="H517" i="7"/>
  <c r="I518" i="7" l="1"/>
  <c r="J518" i="7"/>
  <c r="K518" i="7"/>
  <c r="H518" i="7"/>
</calcChain>
</file>

<file path=xl/sharedStrings.xml><?xml version="1.0" encoding="utf-8"?>
<sst xmlns="http://schemas.openxmlformats.org/spreadsheetml/2006/main" count="113" uniqueCount="103">
  <si>
    <t>LTCD-WET-EDRC-C&amp;I</t>
  </si>
  <si>
    <t>SERVICE   DESCRIPTION</t>
  </si>
  <si>
    <t>SOURCE</t>
  </si>
  <si>
    <t>TARGET</t>
  </si>
  <si>
    <t>SIGNAL TYPE</t>
  </si>
  <si>
    <t>REMARKS</t>
  </si>
  <si>
    <t xml:space="preserve"> REF. P&amp;ID NO</t>
  </si>
  <si>
    <t>DI</t>
  </si>
  <si>
    <t>DO</t>
  </si>
  <si>
    <t>AI</t>
  </si>
  <si>
    <t>AO</t>
  </si>
  <si>
    <t>PLC</t>
  </si>
  <si>
    <t>ALARM ANNUNCIATION SIGNAL</t>
  </si>
  <si>
    <t>SERVICE DESCRIPTION</t>
  </si>
  <si>
    <t>INSTRUMENT
DESCRIPTION</t>
  </si>
  <si>
    <t>INSTRUMENT
 TAG NO.</t>
  </si>
  <si>
    <t>S. NO</t>
  </si>
  <si>
    <t xml:space="preserve">CLIENT </t>
  </si>
  <si>
    <t>MSV</t>
  </si>
  <si>
    <t>MBFV</t>
  </si>
  <si>
    <t>HSC</t>
  </si>
  <si>
    <t xml:space="preserve"> PROGRAMMABLE LOGIC CONTROLLER </t>
  </si>
  <si>
    <t>LT</t>
  </si>
  <si>
    <t>LEVEL TRANSMITTER</t>
  </si>
  <si>
    <t>I/O</t>
  </si>
  <si>
    <t>INPUT/OUTPUT</t>
  </si>
  <si>
    <t>DIGITAL INPUT</t>
  </si>
  <si>
    <t>DIGITAL OUTPUT</t>
  </si>
  <si>
    <t>PT</t>
  </si>
  <si>
    <t>PRESSURE TRANSMITTER</t>
  </si>
  <si>
    <t>ANALOG INPUT</t>
  </si>
  <si>
    <t>FT</t>
  </si>
  <si>
    <t>FLOW TRANSMITTER</t>
  </si>
  <si>
    <t>MOTORIZED BUTTERFLY VALVE</t>
  </si>
  <si>
    <t>MOTORISED SLUICE VALVE</t>
  </si>
  <si>
    <t xml:space="preserve"> PLC IO Quantity</t>
  </si>
  <si>
    <t>Location</t>
  </si>
  <si>
    <t>With 20% Spare</t>
  </si>
  <si>
    <t>MFM</t>
  </si>
  <si>
    <t>MULTIFUNCTION METER</t>
  </si>
  <si>
    <t>HORIZONTAL SPLIT CASE</t>
  </si>
  <si>
    <t>MSG</t>
  </si>
  <si>
    <t>MOTORISED SLUICE GATE</t>
  </si>
  <si>
    <t>FOR APPROVAL</t>
  </si>
  <si>
    <t>DATE</t>
  </si>
  <si>
    <t>REV. NO.</t>
  </si>
  <si>
    <t>DESCRIPTION</t>
  </si>
  <si>
    <t>PREPARED</t>
  </si>
  <si>
    <t>CHECKED</t>
  </si>
  <si>
    <t>APPROVED</t>
  </si>
  <si>
    <t>L&amp;T CONSTRUCTION - WATER &amp; EFFLUENT TREATMENT IC</t>
  </si>
  <si>
    <t>JOB NO</t>
  </si>
  <si>
    <t>TITLE :</t>
  </si>
  <si>
    <t>NAME</t>
  </si>
  <si>
    <t>SIGN</t>
  </si>
  <si>
    <t>PRED</t>
  </si>
  <si>
    <t>CHKD</t>
  </si>
  <si>
    <t>APPD</t>
  </si>
  <si>
    <t>SIZE</t>
  </si>
  <si>
    <t>REV.</t>
  </si>
  <si>
    <t>DOC.No.</t>
  </si>
  <si>
    <t>A3</t>
  </si>
  <si>
    <t>RELEASED FOR</t>
  </si>
  <si>
    <t xml:space="preserve">  PRELIMINARY</t>
  </si>
  <si>
    <t>TENDER</t>
  </si>
  <si>
    <t>INFORMATION</t>
  </si>
  <si>
    <t>APPROVAL</t>
  </si>
  <si>
    <t>CONSTRUCTION</t>
  </si>
  <si>
    <t>CLIENT</t>
  </si>
  <si>
    <t>PROJECT</t>
  </si>
  <si>
    <t>SUPPLIER/ CONTRACTOR</t>
  </si>
  <si>
    <t>CONSULTANT</t>
  </si>
  <si>
    <t>Dhanki PS PLC</t>
  </si>
  <si>
    <t>VFD</t>
  </si>
  <si>
    <t>VARIABLE FREQUENCY DRIVE</t>
  </si>
  <si>
    <t>FLUX COMPENSATED MAGNETIC AMPLIFIER SOFT STARTER</t>
  </si>
  <si>
    <t>FCMA SS</t>
  </si>
  <si>
    <t>CRP</t>
  </si>
  <si>
    <t>CONTROL &amp; RELAY PANEL</t>
  </si>
  <si>
    <t xml:space="preserve">PMCC </t>
  </si>
  <si>
    <t>POWER &amp; MOTOR CONTROL CENTER</t>
  </si>
  <si>
    <t>SF6 CB</t>
  </si>
  <si>
    <t>SULPHUR HEXAFLUORIDE CIRCUIT BREAKER</t>
  </si>
  <si>
    <t>LIST OF LEGEND</t>
  </si>
  <si>
    <t>UPS</t>
  </si>
  <si>
    <t>BTC</t>
  </si>
  <si>
    <t>BATTERY CHARGER</t>
  </si>
  <si>
    <t>UNINTERRUPTIBLE POWER SUPPLY</t>
  </si>
  <si>
    <t>RTD SIGNAL</t>
  </si>
  <si>
    <t/>
  </si>
  <si>
    <t>d</t>
  </si>
  <si>
    <r>
      <t xml:space="preserve">This document is the property of </t>
    </r>
    <r>
      <rPr>
        <b/>
        <sz val="11"/>
        <rFont val="Aptos"/>
        <family val="2"/>
      </rPr>
      <t xml:space="preserve">Larsen &amp; Toubro Limited, </t>
    </r>
    <r>
      <rPr>
        <sz val="11"/>
        <rFont val="Aptos"/>
        <family val="2"/>
      </rPr>
      <t>ECC Division - EDRC and must not be passed on to any third person or firm not authorised by us, nor be copied/made use of in full or part by such person or firm without our prior permission writing</t>
    </r>
  </si>
  <si>
    <t>Date:</t>
  </si>
  <si>
    <t>Prepared by:</t>
  </si>
  <si>
    <t>Checked by:</t>
  </si>
  <si>
    <t>Approved by:</t>
  </si>
  <si>
    <t>Rev:</t>
  </si>
  <si>
    <t>Project:</t>
  </si>
  <si>
    <t>Client:</t>
  </si>
  <si>
    <t>Consultant:</t>
  </si>
  <si>
    <t>Document No:</t>
  </si>
  <si>
    <t>Location:</t>
  </si>
  <si>
    <t>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</si>
</sst>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4009]dd/mm/yy;@"/>
  </numFmts>
  <fonts count="2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2"/>
      <name val="Aptos"/>
      <family val="2"/>
    </font>
    <font>
      <b/>
      <sz val="12"/>
      <name val="Aptos"/>
      <family val="2"/>
    </font>
    <font>
      <b/>
      <sz val="11"/>
      <name val="Aptos"/>
      <family val="2"/>
    </font>
    <font>
      <b/>
      <sz val="14"/>
      <name val="Aptos"/>
      <family val="2"/>
    </font>
    <font>
      <sz val="10"/>
      <name val="Aptos"/>
      <family val="2"/>
    </font>
    <font>
      <sz val="9"/>
      <name val="Aptos"/>
      <family val="2"/>
    </font>
    <font>
      <b/>
      <sz val="10"/>
      <name val="Aptos"/>
      <family val="2"/>
    </font>
    <font>
      <b/>
      <sz val="9"/>
      <name val="Aptos"/>
      <family val="2"/>
    </font>
    <font>
      <sz val="14"/>
      <name val="Aptos"/>
      <family val="2"/>
    </font>
    <font>
      <sz val="11"/>
      <name val="Aptos"/>
      <family val="2"/>
    </font>
    <font>
      <b/>
      <sz val="12"/>
      <name val="Amasis MT Pro Black"/>
      <family val="1"/>
    </font>
    <font>
      <sz val="14"/>
      <color theme="1"/>
      <name val="Aptos"/>
      <family val="2"/>
    </font>
    <font>
      <b/>
      <sz val="12"/>
      <color theme="1"/>
      <name val="Aptos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4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114">
    <xf numFmtId="0" fontId="0" fillId="0" borderId="0" xfId="0"/>
    <xf numFmtId="0" fontId="13" fillId="0" borderId="15" xfId="2" applyFont="1" applyBorder="1" applyAlignment="1">
      <alignment horizontal="center" vertical="justify" textRotation="90" wrapText="1"/>
    </xf>
    <xf numFmtId="0" fontId="4" fillId="0" borderId="16" xfId="2" applyFont="1" applyBorder="1" applyAlignment="1" applyProtection="1">
      <alignment vertical="center"/>
      <protection locked="0"/>
    </xf>
    <xf numFmtId="0" fontId="4" fillId="0" borderId="17" xfId="2" applyFont="1" applyBorder="1" applyAlignment="1" applyProtection="1">
      <alignment vertical="center"/>
      <protection locked="0"/>
    </xf>
    <xf numFmtId="0" fontId="4" fillId="0" borderId="0" xfId="2" applyFont="1" applyAlignment="1" applyProtection="1">
      <alignment vertical="center"/>
      <protection locked="0"/>
    </xf>
    <xf numFmtId="0" fontId="13" fillId="0" borderId="18" xfId="2" applyFont="1" applyBorder="1" applyAlignment="1">
      <alignment horizontal="center" vertical="justify" textRotation="90" wrapText="1"/>
    </xf>
    <xf numFmtId="0" fontId="4" fillId="0" borderId="10" xfId="2" applyFont="1" applyBorder="1" applyAlignment="1" applyProtection="1">
      <alignment vertical="center"/>
      <protection locked="0"/>
    </xf>
    <xf numFmtId="0" fontId="4" fillId="0" borderId="11" xfId="2" applyFont="1" applyBorder="1" applyAlignment="1" applyProtection="1">
      <alignment vertical="center"/>
      <protection locked="0"/>
    </xf>
    <xf numFmtId="0" fontId="4" fillId="0" borderId="7" xfId="2" applyFont="1" applyBorder="1" applyAlignment="1" applyProtection="1">
      <alignment vertical="center"/>
      <protection locked="0"/>
    </xf>
    <xf numFmtId="0" fontId="4" fillId="0" borderId="19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vertical="center"/>
      <protection locked="0"/>
    </xf>
    <xf numFmtId="0" fontId="4" fillId="0" borderId="9" xfId="2" applyFont="1" applyBorder="1" applyAlignment="1" applyProtection="1">
      <alignment vertical="center"/>
      <protection locked="0"/>
    </xf>
    <xf numFmtId="0" fontId="4" fillId="0" borderId="20" xfId="2" applyFont="1" applyBorder="1" applyAlignment="1" applyProtection="1">
      <alignment vertical="center"/>
      <protection locked="0"/>
    </xf>
    <xf numFmtId="14" fontId="4" fillId="0" borderId="17" xfId="2" applyNumberFormat="1" applyFont="1" applyBorder="1" applyAlignment="1" applyProtection="1">
      <alignment vertical="center"/>
      <protection locked="0"/>
    </xf>
    <xf numFmtId="0" fontId="4" fillId="0" borderId="21" xfId="2" applyFont="1" applyBorder="1" applyAlignment="1" applyProtection="1">
      <alignment vertical="center"/>
      <protection locked="0"/>
    </xf>
    <xf numFmtId="0" fontId="4" fillId="0" borderId="22" xfId="2" applyFont="1" applyBorder="1" applyAlignment="1" applyProtection="1">
      <alignment vertical="center"/>
      <protection locked="0"/>
    </xf>
    <xf numFmtId="0" fontId="4" fillId="0" borderId="23" xfId="2" applyFont="1" applyBorder="1" applyAlignment="1" applyProtection="1">
      <alignment vertical="center"/>
      <protection locked="0"/>
    </xf>
    <xf numFmtId="0" fontId="4" fillId="0" borderId="8" xfId="2" applyFont="1" applyBorder="1" applyAlignment="1" applyProtection="1">
      <alignment horizontal="center" vertical="center"/>
      <protection locked="0"/>
    </xf>
    <xf numFmtId="0" fontId="4" fillId="0" borderId="0" xfId="2" applyFont="1" applyAlignment="1" applyProtection="1">
      <alignment horizontal="center" vertical="center"/>
      <protection locked="0"/>
    </xf>
    <xf numFmtId="0" fontId="4" fillId="0" borderId="9" xfId="2" applyFont="1" applyBorder="1" applyAlignment="1" applyProtection="1">
      <alignment horizontal="center" vertical="center"/>
      <protection locked="0"/>
    </xf>
    <xf numFmtId="15" fontId="4" fillId="0" borderId="8" xfId="2" applyNumberFormat="1" applyFont="1" applyBorder="1" applyAlignment="1" applyProtection="1">
      <alignment horizontal="center" vertical="center"/>
      <protection locked="0"/>
    </xf>
    <xf numFmtId="15" fontId="4" fillId="0" borderId="5" xfId="2" applyNumberFormat="1" applyFont="1" applyBorder="1" applyAlignment="1" applyProtection="1">
      <alignment horizontal="center" vertical="center"/>
      <protection locked="0"/>
    </xf>
    <xf numFmtId="0" fontId="4" fillId="0" borderId="5" xfId="2" applyFont="1" applyBorder="1" applyAlignment="1" applyProtection="1">
      <alignment horizontal="center" vertical="center"/>
      <protection locked="0"/>
    </xf>
    <xf numFmtId="0" fontId="4" fillId="0" borderId="5" xfId="2" quotePrefix="1" applyFont="1" applyBorder="1" applyAlignment="1" applyProtection="1">
      <alignment horizontal="left" vertical="center"/>
      <protection locked="0"/>
    </xf>
    <xf numFmtId="0" fontId="4" fillId="0" borderId="5" xfId="2" applyFont="1" applyBorder="1" applyAlignment="1" applyProtection="1">
      <alignment horizontal="left" vertical="center"/>
      <protection locked="0"/>
    </xf>
    <xf numFmtId="0" fontId="4" fillId="0" borderId="5" xfId="2" quotePrefix="1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center" vertical="center"/>
    </xf>
    <xf numFmtId="0" fontId="6" fillId="0" borderId="5" xfId="2" applyFont="1" applyBorder="1" applyAlignment="1">
      <alignment horizontal="center" vertical="center"/>
    </xf>
    <xf numFmtId="0" fontId="7" fillId="0" borderId="10" xfId="2" applyFont="1" applyBorder="1" applyAlignment="1">
      <alignment horizontal="center" vertical="center" wrapText="1"/>
    </xf>
    <xf numFmtId="0" fontId="7" fillId="0" borderId="11" xfId="2" applyFont="1" applyBorder="1" applyAlignment="1">
      <alignment horizontal="center" vertical="center" wrapText="1"/>
    </xf>
    <xf numFmtId="0" fontId="7" fillId="0" borderId="7" xfId="2" applyFont="1" applyBorder="1" applyAlignment="1">
      <alignment horizontal="center" vertical="center" wrapText="1"/>
    </xf>
    <xf numFmtId="0" fontId="7" fillId="0" borderId="1" xfId="2" applyFont="1" applyBorder="1" applyAlignment="1">
      <alignment horizontal="center" vertical="center" wrapText="1"/>
    </xf>
    <xf numFmtId="0" fontId="7" fillId="0" borderId="2" xfId="2" applyFont="1" applyBorder="1" applyAlignment="1">
      <alignment horizontal="center" vertical="center" wrapText="1"/>
    </xf>
    <xf numFmtId="0" fontId="7" fillId="0" borderId="12" xfId="2" applyFont="1" applyBorder="1" applyAlignment="1">
      <alignment horizontal="center" vertical="center" wrapText="1"/>
    </xf>
    <xf numFmtId="0" fontId="5" fillId="0" borderId="5" xfId="2" applyFont="1" applyBorder="1" applyAlignment="1" applyProtection="1">
      <alignment horizontal="center" vertical="center" wrapText="1"/>
      <protection locked="0"/>
    </xf>
    <xf numFmtId="0" fontId="4" fillId="0" borderId="5" xfId="2" applyFont="1" applyBorder="1" applyAlignment="1" applyProtection="1">
      <alignment horizontal="center" vertical="center" wrapText="1"/>
      <protection locked="0"/>
    </xf>
    <xf numFmtId="0" fontId="8" fillId="0" borderId="21" xfId="2" applyFont="1" applyBorder="1" applyAlignment="1" applyProtection="1">
      <alignment horizontal="justify" vertical="justify" textRotation="90" wrapText="1"/>
      <protection locked="0"/>
    </xf>
    <xf numFmtId="0" fontId="5" fillId="0" borderId="5" xfId="2" applyFont="1" applyBorder="1" applyAlignment="1" applyProtection="1">
      <alignment horizontal="center" vertical="center"/>
      <protection locked="0"/>
    </xf>
    <xf numFmtId="0" fontId="5" fillId="0" borderId="5" xfId="2" applyFont="1" applyBorder="1" applyAlignment="1">
      <alignment horizontal="left" vertical="center"/>
    </xf>
    <xf numFmtId="0" fontId="7" fillId="0" borderId="5" xfId="2" applyFont="1" applyBorder="1" applyAlignment="1" applyProtection="1">
      <alignment horizontal="center" vertical="center" wrapText="1"/>
      <protection locked="0"/>
    </xf>
    <xf numFmtId="0" fontId="9" fillId="0" borderId="5" xfId="2" quotePrefix="1" applyFont="1" applyBorder="1" applyAlignment="1" applyProtection="1">
      <alignment horizontal="center" vertical="center"/>
      <protection locked="0"/>
    </xf>
    <xf numFmtId="0" fontId="9" fillId="0" borderId="5" xfId="2" applyFont="1" applyBorder="1" applyAlignment="1" applyProtection="1">
      <alignment horizontal="center" vertical="center"/>
      <protection locked="0"/>
    </xf>
    <xf numFmtId="164" fontId="4" fillId="0" borderId="5" xfId="2" applyNumberFormat="1" applyFont="1" applyBorder="1" applyAlignment="1" applyProtection="1">
      <alignment horizontal="center" vertical="center"/>
      <protection locked="0"/>
    </xf>
    <xf numFmtId="0" fontId="5" fillId="0" borderId="8" xfId="2" applyFont="1" applyBorder="1" applyAlignment="1">
      <alignment horizontal="center" vertical="center"/>
    </xf>
    <xf numFmtId="0" fontId="5" fillId="0" borderId="9" xfId="2" applyFont="1" applyBorder="1" applyAlignment="1">
      <alignment horizontal="center" vertical="center"/>
    </xf>
    <xf numFmtId="0" fontId="5" fillId="0" borderId="8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5" xfId="2" applyFont="1" applyBorder="1" applyAlignment="1" applyProtection="1">
      <alignment horizontal="center" vertical="center" shrinkToFit="1"/>
      <protection locked="0"/>
    </xf>
    <xf numFmtId="0" fontId="4" fillId="0" borderId="9" xfId="2" applyFont="1" applyBorder="1" applyAlignment="1" applyProtection="1">
      <alignment horizontal="left"/>
      <protection locked="0"/>
    </xf>
    <xf numFmtId="0" fontId="4" fillId="0" borderId="8" xfId="2" applyFont="1" applyBorder="1" applyAlignment="1" applyProtection="1">
      <alignment horizontal="center" vertical="center"/>
      <protection locked="0"/>
    </xf>
    <xf numFmtId="0" fontId="4" fillId="0" borderId="9" xfId="2" applyFont="1" applyBorder="1" applyAlignment="1" applyProtection="1">
      <alignment horizontal="left" vertical="center"/>
      <protection locked="0"/>
    </xf>
    <xf numFmtId="0" fontId="4" fillId="0" borderId="1" xfId="2" applyFont="1" applyBorder="1" applyAlignment="1" applyProtection="1">
      <alignment vertical="center"/>
      <protection locked="0"/>
    </xf>
    <xf numFmtId="0" fontId="4" fillId="0" borderId="2" xfId="2" applyFont="1" applyBorder="1" applyAlignment="1" applyProtection="1">
      <alignment vertical="center"/>
      <protection locked="0"/>
    </xf>
    <xf numFmtId="0" fontId="4" fillId="0" borderId="12" xfId="2" applyFont="1" applyBorder="1" applyAlignment="1" applyProtection="1">
      <alignment vertical="center"/>
      <protection locked="0"/>
    </xf>
    <xf numFmtId="0" fontId="4" fillId="0" borderId="1" xfId="2" applyFont="1" applyBorder="1" applyAlignment="1" applyProtection="1">
      <alignment horizontal="center" vertical="center"/>
      <protection locked="0"/>
    </xf>
    <xf numFmtId="0" fontId="4" fillId="0" borderId="12" xfId="2" applyFont="1" applyBorder="1" applyAlignment="1" applyProtection="1">
      <alignment horizontal="center" vertical="center"/>
      <protection locked="0"/>
    </xf>
    <xf numFmtId="0" fontId="10" fillId="0" borderId="1" xfId="2" applyFont="1" applyBorder="1" applyAlignment="1" applyProtection="1">
      <alignment horizontal="center" vertical="center"/>
      <protection locked="0"/>
    </xf>
    <xf numFmtId="0" fontId="10" fillId="0" borderId="12" xfId="2" applyFont="1" applyBorder="1" applyAlignment="1" applyProtection="1">
      <alignment horizontal="center" vertical="center"/>
      <protection locked="0"/>
    </xf>
    <xf numFmtId="0" fontId="8" fillId="0" borderId="0" xfId="2" applyFont="1" applyAlignment="1" applyProtection="1">
      <alignment vertical="center"/>
      <protection locked="0"/>
    </xf>
    <xf numFmtId="0" fontId="4" fillId="0" borderId="5" xfId="2" applyFont="1" applyBorder="1" applyAlignment="1" applyProtection="1">
      <alignment vertical="center"/>
      <protection locked="0"/>
    </xf>
    <xf numFmtId="0" fontId="10" fillId="0" borderId="0" xfId="2" applyFont="1" applyAlignment="1">
      <alignment vertical="center"/>
    </xf>
    <xf numFmtId="0" fontId="11" fillId="0" borderId="0" xfId="2" applyFont="1" applyAlignment="1" applyProtection="1">
      <alignment vertical="center"/>
      <protection locked="0"/>
    </xf>
    <xf numFmtId="0" fontId="11" fillId="0" borderId="9" xfId="2" applyFont="1" applyBorder="1" applyAlignment="1" applyProtection="1">
      <alignment vertical="center"/>
      <protection locked="0"/>
    </xf>
    <xf numFmtId="0" fontId="11" fillId="0" borderId="8" xfId="2" applyFont="1" applyBorder="1" applyAlignment="1" applyProtection="1">
      <alignment vertical="center"/>
      <protection locked="0"/>
    </xf>
    <xf numFmtId="0" fontId="14" fillId="0" borderId="5" xfId="2" applyFont="1" applyBorder="1" applyAlignment="1" applyProtection="1">
      <alignment horizontal="center" vertical="center"/>
      <protection locked="0"/>
    </xf>
    <xf numFmtId="0" fontId="8" fillId="0" borderId="8" xfId="2" applyFont="1" applyBorder="1" applyAlignment="1" applyProtection="1">
      <alignment vertical="center"/>
      <protection locked="0"/>
    </xf>
    <xf numFmtId="0" fontId="8" fillId="0" borderId="1" xfId="2" applyFont="1" applyBorder="1" applyAlignment="1" applyProtection="1">
      <alignment vertical="center"/>
      <protection locked="0"/>
    </xf>
    <xf numFmtId="0" fontId="8" fillId="0" borderId="2" xfId="2" applyFont="1" applyBorder="1" applyAlignment="1" applyProtection="1">
      <alignment vertical="center"/>
      <protection locked="0"/>
    </xf>
    <xf numFmtId="0" fontId="8" fillId="0" borderId="12" xfId="2" applyFont="1" applyBorder="1" applyAlignment="1" applyProtection="1">
      <alignment vertical="center"/>
      <protection locked="0"/>
    </xf>
    <xf numFmtId="0" fontId="4" fillId="0" borderId="24" xfId="2" applyFont="1" applyBorder="1" applyAlignment="1" applyProtection="1">
      <alignment vertical="center"/>
      <protection locked="0"/>
    </xf>
    <xf numFmtId="0" fontId="5" fillId="0" borderId="5" xfId="0" applyFont="1" applyBorder="1" applyAlignment="1">
      <alignment horizontal="center" vertical="center" wrapText="1"/>
    </xf>
    <xf numFmtId="0" fontId="15" fillId="0" borderId="0" xfId="0" applyFont="1"/>
    <xf numFmtId="0" fontId="17" fillId="2" borderId="0" xfId="0" applyFont="1" applyFill="1" applyAlignment="1">
      <alignment horizontal="center"/>
    </xf>
    <xf numFmtId="0" fontId="18" fillId="2" borderId="0" xfId="0" applyFont="1" applyFill="1"/>
    <xf numFmtId="0" fontId="18" fillId="2" borderId="0" xfId="0" applyFont="1" applyFill="1" applyAlignment="1">
      <alignment horizontal="center"/>
    </xf>
    <xf numFmtId="0" fontId="4" fillId="0" borderId="5" xfId="0" applyFont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6" fillId="0" borderId="3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vertical="center" wrapText="1"/>
    </xf>
    <xf numFmtId="0" fontId="19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2" fillId="0" borderId="5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49" fontId="7" fillId="3" borderId="5" xfId="0" quotePrefix="1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vertical="center" wrapText="1"/>
    </xf>
    <xf numFmtId="0" fontId="15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/>
    </xf>
    <xf numFmtId="0" fontId="19" fillId="0" borderId="5" xfId="0" applyFont="1" applyBorder="1" applyAlignment="1">
      <alignment horizontal="left" vertical="center"/>
    </xf>
  </cellXfs>
  <cellStyles count="3">
    <cellStyle name="Normal" xfId="0" builtinId="0"/>
    <cellStyle name="Normal 2" xfId="1" xr:uid="{4FC506D4-B4F8-4376-9899-D81600B493F3}"/>
    <cellStyle name="Normal 3" xfId="2" xr:uid="{FA28D6E3-1CDC-42D0-809A-50F61DFDCB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217714</xdr:colOff>
      <xdr:row>31</xdr:row>
      <xdr:rowOff>97972</xdr:rowOff>
    </xdr:from>
    <xdr:to>
      <xdr:col>22</xdr:col>
      <xdr:colOff>7256</xdr:colOff>
      <xdr:row>32</xdr:row>
      <xdr:rowOff>540791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A95F2FD-AF6F-4502-9B69-109DF16F9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clrChange>
            <a:clrFrom>
              <a:srgbClr val="FEFDF9"/>
            </a:clrFrom>
            <a:clrTo>
              <a:srgbClr val="FEFDF9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12028" y="6400801"/>
          <a:ext cx="3512457" cy="7476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63</xdr:row>
      <xdr:rowOff>0</xdr:rowOff>
    </xdr:from>
    <xdr:to>
      <xdr:col>12</xdr:col>
      <xdr:colOff>304800</xdr:colOff>
      <xdr:row>63</xdr:row>
      <xdr:rowOff>320094</xdr:rowOff>
    </xdr:to>
    <xdr:sp macro="" textlink="">
      <xdr:nvSpPr>
        <xdr:cNvPr id="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63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</xdr:col>
      <xdr:colOff>0</xdr:colOff>
      <xdr:row>77</xdr:row>
      <xdr:rowOff>0</xdr:rowOff>
    </xdr:from>
    <xdr:ext cx="304800" cy="311150"/>
    <xdr:sp macro="" textlink="">
      <xdr:nvSpPr>
        <xdr:cNvPr id="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230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97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564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52317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83559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0756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31565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548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3776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005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233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462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476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072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376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68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5986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291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519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748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6977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205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317</xdr:row>
      <xdr:rowOff>0</xdr:rowOff>
    </xdr:from>
    <xdr:ext cx="304800" cy="311150"/>
    <xdr:sp macro="" textlink="">
      <xdr:nvSpPr>
        <xdr:cNvPr id="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434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662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7891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120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348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577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88058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034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2630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49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9720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13204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50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27682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03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3016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568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3873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101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330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558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987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216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445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4787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09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397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5701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00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311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616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6844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073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302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530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7759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673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8902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130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359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588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198167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045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2739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5025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07311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513</xdr:row>
      <xdr:rowOff>0</xdr:rowOff>
    </xdr:from>
    <xdr:ext cx="304800" cy="311150"/>
    <xdr:sp macro="" textlink="">
      <xdr:nvSpPr>
        <xdr:cNvPr id="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00000-0008-0000-00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14277975" y="2233136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F054C-69AB-4B41-BAF4-303F8286687A}"/>
            </a:ext>
          </a:extLst>
        </xdr:cNvPr>
        <xdr:cNvSpPr>
          <a:spLocks noChangeAspect="1" noChangeArrowheads="1"/>
        </xdr:cNvSpPr>
      </xdr:nvSpPr>
      <xdr:spPr bwMode="auto">
        <a:xfrm>
          <a:off x="13830300" y="2010727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8E769A-667A-4D5B-B415-15479DA32EFD}"/>
            </a:ext>
          </a:extLst>
        </xdr:cNvPr>
        <xdr:cNvSpPr>
          <a:spLocks noChangeAspect="1" noChangeArrowheads="1"/>
        </xdr:cNvSpPr>
      </xdr:nvSpPr>
      <xdr:spPr bwMode="auto">
        <a:xfrm>
          <a:off x="14830425" y="490823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B9F386-8E9D-48CD-A18A-A306721A1C45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619-A3B1-46DE-AFBA-87D614B380F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5555F-320A-4AE9-94DC-8D4314AAC62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A64706-B447-4FC2-A582-6C92E75EA08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73B522-9698-41D7-93B0-3894304152CB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82C82B-3EED-4F91-B40A-713A19C734B6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A8C0B-7089-40C1-8E92-4252D562071C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A801F8-E368-4E0D-A746-C5E42776533F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9F06A6-1C95-42BA-B6F9-746193A9E7E3}"/>
            </a:ext>
          </a:extLst>
        </xdr:cNvPr>
        <xdr:cNvSpPr>
          <a:spLocks noChangeAspect="1" noChangeArrowheads="1"/>
        </xdr:cNvSpPr>
      </xdr:nvSpPr>
      <xdr:spPr bwMode="auto">
        <a:xfrm>
          <a:off x="15013781" y="6474618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7BD787-9274-4817-9F90-4404DA41CCA5}"/>
            </a:ext>
          </a:extLst>
        </xdr:cNvPr>
        <xdr:cNvSpPr>
          <a:spLocks noChangeAspect="1" noChangeArrowheads="1"/>
        </xdr:cNvSpPr>
      </xdr:nvSpPr>
      <xdr:spPr bwMode="auto">
        <a:xfrm>
          <a:off x="15020925" y="268700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4D515E-295E-4614-BB47-B6946ED27BA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348257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622043-ECFB-4A03-B5B3-46E65BCC20D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55753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CCF9A-64EF-45BC-90AD-EBC9745C3A3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80528-B706-4D73-8A3C-2935865C7EF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BFC46D-E391-4357-9E41-DD777777E3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41BE8D-3A60-4A36-9049-A41351D5B9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735FF-0649-45CD-ADC8-6129B048FDB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DA8A-E8F0-4B00-A63C-0C176349FB4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E13EA-3D67-43BE-BA85-8D42C237F35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836581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EEB742-1700-4D2A-8231-4F7DEAE18BB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F2109D-1DF2-4D11-9E64-8BADCA3F533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7610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307A3E-B587-44D6-ABD4-FA69A9B6E2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22CC49-D869-444E-AA2C-ED1D0933C7A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EB6E4-7B79-4F2A-AE72-D0B5EB54766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555DB-2E92-4283-9446-C30356D40FF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3248D9-FA30-4831-94D4-9A6E9F128CC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CE32C4-5B3E-4AF3-A865-5179EBB41B0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DE56EB-5774-4A0A-BDDB-13FE4D5EBBC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627299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692ED2-6364-42D1-946B-06EB242EEC9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37D76-50C1-493C-8DFF-9A963CE2B76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766820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031726-29C4-45BB-9D1E-02A1918A97B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7E78D-355F-4E3B-8756-743C19EE335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0FF11E-6F8F-4500-B126-E5126388744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4977-5649-4DB5-978B-ECF426FBF62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6205DB-DAC9-43D4-8569-1A9AB9D7705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DB6AE7-7BD9-46DF-BD9A-89C65C2F18B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183109-2679-459A-9927-79C8F60B931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255144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0EE4DE-5F64-4D10-89F8-1DC4EEABA0B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4A0B49-5DAF-439A-80BE-E5FE170AC7A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94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5DEFD1-8296-4CFF-99D2-ADC15A90FE8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87066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116FA2-FF5C-454C-B490-7F3A9893AF5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079947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715C79-3511-4399-B764-01046691ADC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28922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275FC8-920F-490B-BD23-63784C58F20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498510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D86672-C66F-470F-A440-7F1EEAF0210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191707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D4B20C-F4F0-43D7-AFA9-B1ED340B8F9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8426F9-FB10-4866-BF07-032F96B3A81F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6985C3-6AFE-4F44-B165-443B2FBE83CA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192</xdr:row>
      <xdr:rowOff>0</xdr:rowOff>
    </xdr:from>
    <xdr:ext cx="304800" cy="311150"/>
    <xdr:sp macro="" textlink="">
      <xdr:nvSpPr>
        <xdr:cNvPr id="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6861E5-9C7A-4ECA-B73F-08389398E43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2370517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BA7C60-E303-4F29-84BD-F90DD07911A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AC36DE-689F-4AF0-A26B-DEA31D0EC49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F7F563-A2B6-4A92-BB63-4B61E78CB4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7B3F47-B0B8-44F6-BF62-2AD787B0EF8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9A4E93-6887-4A83-A7B2-C52FA508525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26F4AC-2877-4E5F-A790-07040F319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CA3415-2879-408E-82F2-B5D16701DD54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172764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480760-20F6-475B-9F82-0DB746DA495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F934-3B4F-4AED-B053-9E9E9B77EDD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12285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631EC0-E6B9-4D0E-BD57-E60353774CC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6B581-B27C-4CA5-9621-AF66FFB65FB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E3C1EB-020C-4F0F-9ADD-B2E7C4860F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4567975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831438-CEFA-4F30-BEB3-4E8F1FF48932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EF0A78-9B72-4F9B-ADBB-D6E64DAA704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D12839-D995-4DF3-BDBF-CF60D632A6C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E9378C-0B28-489E-94A6-90951740E38B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719BB-6E7C-4A0D-838B-6FA724D20A6D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ABB86-BF2B-4CED-B57D-C7D75468B71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0CFB4-0C07-4A0A-9413-0F2CC2E67E1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203</xdr:row>
      <xdr:rowOff>0</xdr:rowOff>
    </xdr:from>
    <xdr:ext cx="304800" cy="311150"/>
    <xdr:sp macro="" textlink="">
      <xdr:nvSpPr>
        <xdr:cNvPr id="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13BD23-DB49-49AB-A2E5-D7129A60C603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203</xdr:row>
      <xdr:rowOff>0</xdr:rowOff>
    </xdr:from>
    <xdr:ext cx="304800" cy="311150"/>
    <xdr:sp macro="" textlink="">
      <xdr:nvSpPr>
        <xdr:cNvPr id="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8BA7AE-EAD3-4D23-97C1-62ECA2E8208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337774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16942-E9B1-412B-8B12-F9FD489D52F8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5D47F8-2631-468A-98A7-4334B07C0A21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CB012-6C84-4220-A234-AA1E3B89C7E0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4EF82-924A-42B2-9699-53E078F46C87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A750B6-DA73-4753-B86F-83835F7D453C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CDF29-3F7F-4FCF-A00F-FF7DEA14E36E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66DC71-F8B9-4154-94FB-32E593367DD5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E287C9-6AE6-4933-A3ED-82CA51B5C5B9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B911D-92FE-4EBD-B32C-A2689D97D796}"/>
            </a:ext>
          </a:extLst>
        </xdr:cNvPr>
        <xdr:cNvSpPr>
          <a:spLocks noChangeAspect="1" noChangeArrowheads="1"/>
        </xdr:cNvSpPr>
      </xdr:nvSpPr>
      <xdr:spPr bwMode="auto">
        <a:xfrm>
          <a:off x="15025352" y="3214352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F6EB84-2398-4FCE-893E-BDC1D8B543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487554-F017-4788-8449-EDD5E0DFAF4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76A9AF7-4625-4E02-B839-ACDB22638B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3DE9DE-2477-4B70-A379-6F02CDD82B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59B895-FE54-42C0-96DE-FC8EA8AF645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4C294E-7794-471B-A236-504F3F845F2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01C2A2-7EBA-4943-BB27-81F76214B7C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209</xdr:row>
      <xdr:rowOff>0</xdr:rowOff>
    </xdr:from>
    <xdr:ext cx="304800" cy="311150"/>
    <xdr:sp macro="" textlink="">
      <xdr:nvSpPr>
        <xdr:cNvPr id="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21EEF9-7AB9-493D-8F29-EA1A189064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209</xdr:row>
      <xdr:rowOff>0</xdr:rowOff>
    </xdr:from>
    <xdr:ext cx="304800" cy="311150"/>
    <xdr:sp macro="" textlink="">
      <xdr:nvSpPr>
        <xdr:cNvPr id="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D8D863-DB63-410A-AF03-B6EEC53CDB8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337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FD6963-4AE9-4824-8B48-AB5B1A15113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12F96C-E24E-4A8E-B896-500CABD65E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AFD530-0F24-4103-920C-29BA4507C32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40D89C-5F53-4416-86F7-5DE8E5BF442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1501EA-2480-41A7-A100-D2A96C5540D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637497-6F69-4E75-A7E0-60505F00337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0EE563-9A5D-43A4-8C19-B327216213A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3C273CB-A6DF-4E0A-B996-F278F8E1B1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205</xdr:row>
      <xdr:rowOff>0</xdr:rowOff>
    </xdr:from>
    <xdr:ext cx="304800" cy="311150"/>
    <xdr:sp macro="" textlink="">
      <xdr:nvSpPr>
        <xdr:cNvPr id="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952340-FCD8-44F2-B199-63BFC9A14FC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5102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6E611C-645B-4A11-8EE1-9138AD684C0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1BB4F8-DDAC-4A81-BE6A-A068CCE897C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C31B19-BCCD-4D0D-83C4-2DD766E88D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CAA2E7-7A0F-4DDF-A331-C34796E9A67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37417C-9B30-49BF-B4B2-7856A3DFF3F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AB2DA1-8ED7-4EF3-9EDF-CC3B6385F6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403042-D0AE-407F-AE32-71E8BCEF1A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0D5770-9977-41DC-8347-98905F4B4D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750DF-0FF4-4D08-B281-33CE91BC90C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18845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2E4B28-A4FD-4487-9EF3-07E754CEB5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C1952D-3F05-4FDB-84BB-D3C014B99D9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A4638A-C90C-4CA9-8D97-392175009F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168CC0-16B3-4182-A1C4-8C41396B8C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932B2B-6E04-4F10-B25E-65690D06F44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1DB5FC-B026-4933-A3CB-FEF6C65F03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192FAD-7806-4FDB-B6AD-01DD8883CF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EA585C-6105-4722-AC82-8B5D2470F36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6DC9B-1A9A-4B8B-8B15-C3C538796F8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695422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F8126E-8422-4FD8-9034-9BDE4473BDA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95D2D0-2573-45E8-BD66-43446EFD37B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ABA885-F34F-43C5-A28C-C7EAEF36B61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695E98-1BA1-4E13-95F0-41B393D62D8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823C5E-8B5A-4CDD-B031-F090C2A04D9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6E6020-20AC-43B6-8CCB-C29D73E976E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182D9A-E4A6-40F2-A1B9-538057B6E4F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8D5B6-EDCD-44B8-96C0-DE3DB613A2C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BE5FFD-C1C5-4C86-AF02-8A71FC2000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039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ACD46F-A836-4A82-A109-70DFFBE27D5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35FFB2-5861-4C3E-A7AE-56DF53CF9CA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2AE5C-8C54-431B-BC7E-7C1A81D77E4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B25EC1-10FB-4CB5-A2CF-8620E78C7E9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7F543B-D480-4402-8F70-1AC5455FF1C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0861DA-E21E-48F8-80AC-171DC27DE7A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D0DC17-CDCF-40EC-BCDA-D18D6A80C0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3C55B-5E4F-4571-9994-4833B8FAD21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5392DF-8BB7-400C-9424-5385880E6B6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4880556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20406-F8D2-4D5E-9ADA-4A46AD9F23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4289-2906-4FA8-87F3-FDC599BFE74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60A26F-A386-4C27-8AA5-C6F18EE4C22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92340E-6BEB-4A5B-951A-826E9E966F3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EEB41D-3172-47FB-BC03-3FD3823957B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64C8E6-CB3A-4380-81D5-3D3C6A3C814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8FF9FF5-6329-4791-A812-C6AC3FA3FFF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68DE97-A120-4B78-8262-A53CD66A09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B0204C-4C34-4DF5-9A5E-671010FFCCE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18911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CF13BC-96A6-4200-9D4C-5791D9C42D1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D5188CC-AA52-4D3B-AB03-D35E53EB9C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B92570-D16F-4423-9925-751BFF4F3F1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5F578-3129-46E8-98FA-1EDEEC1A69C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2FF12E-8F60-4757-860C-7DEAE3A3867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DB61B-A4A4-4578-B518-F428AD20B4E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D17969-E040-4312-8D1A-7AB54027944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D912B1-4CDB-4000-BF5B-705B174126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DD49A1-DA8F-4FC0-8A25-981CB9834B0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0656901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3F072B-B43D-47C7-9C81-30376DF15EC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603A3-CDD4-4AC7-9912-D3677FA188C4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6384B-34C4-407C-96D6-E8CC7BFB10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EA8904-7969-4CB4-AD8F-0ED3AA4FDDD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A227AE-DF10-4D7A-B997-1B082961C3F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1AAF89-4CA9-4D3C-A754-E1EDE0B8250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EB8C00-D95D-4316-83CC-B83B315ECC7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2B749-FDF4-451C-83BE-CA73CAB208AE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8E2BC8-1868-45E6-B81B-513C348F4A6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374246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E54EA8-E05D-44AD-9869-EEA7052294D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B9944F-8244-4378-BCD9-B6D7F4885A4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D22DC7-BE53-41E7-9238-A7BFF2C3269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6DE5A6-CBDA-484D-8875-8592777D247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1EE79-1BEB-447F-84F6-ACEA26D1055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7318C1-6599-4C2E-9CED-66F3D75980F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9B490D-D0C5-402D-BDEF-E52159A3AE8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70C89E-6153-4AFA-B53C-7CFD29DA14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774901-7BE5-4366-BB11-8E168689FFF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250823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E3875-0CCA-49FF-8CEF-FF14141433D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64549-0D2C-4C73-9CEE-3CB210470D9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02E2F1-DA12-4AB0-96A9-EF6613024AF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30879-3D5C-4B1A-9A5A-1823E01B249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687461-9687-469F-A16F-EAE889D61A3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CFFD2F-1973-427F-A5A4-7EE8245F61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3AA88-90AB-4C76-9261-2E7EED58ED2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E29251-5773-4475-9CC7-B021A59B297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42225E-C59E-425D-A9E6-75B05B25913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559380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F094F-D492-4B37-A62B-4C520F1ADCC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FC3841-8805-40DB-B1C7-98377C4AB76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926BD8-7BF8-49FD-BCF7-C6F3760872F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44A4C0-AC51-4F16-991E-8E064439D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00C081-54D2-47E8-A708-8AE2771F19C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1B3E2-F107-45DC-8CAF-C83AB9BC7C2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DEC7A-9F4A-4C9F-A6B4-D751AAFCF96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85EC4F-F10F-4A8B-AE59-0BB04023D3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FED08-4442-49EB-A54C-27831CD825F2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435957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FF09C4-2A7B-487E-AE5D-2B5E6E28A2E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B6EC8-D127-43E3-A85D-11FC0F4720F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9766E2-EF90-410C-83FB-C482A583D23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8CCDC7-4825-4625-880D-4C099855E71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9182-7BEF-488A-90FA-5D8510C1377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E3C2E-B8B9-40F4-9B11-8AE9EC6D0BBC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798375-6A70-4D97-9B94-43E0C50DCD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D93534-366D-4A16-ADF9-C85FF1237D09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967211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319</xdr:row>
      <xdr:rowOff>0</xdr:rowOff>
    </xdr:from>
    <xdr:ext cx="304800" cy="311150"/>
    <xdr:sp macro="" textlink="">
      <xdr:nvSpPr>
        <xdr:cNvPr id="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B8DDB1-54C1-4822-8D58-A4128EA61D6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5843788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BFBEB-D407-4999-BE02-AD0B4DBE055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A71FCE-3210-4209-A1B0-43BF6DF1064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7B5FDC-C89E-463B-BBF6-DCA0C1C0868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A11FF-9439-4A1C-AD90-C5DF467B166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3ECB94-32A5-49B4-B207-96656A8106DA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C3604-204B-48AE-8D8E-1B61D4EB155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6D7744-A8A1-4429-ADAB-D05ED354E403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751D77-FC48-4A7A-BDD2-8925BAA74407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DAB47-09E9-40F1-B7D5-CAA2A46236F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367</xdr:row>
      <xdr:rowOff>0</xdr:rowOff>
    </xdr:from>
    <xdr:ext cx="304800" cy="311150"/>
    <xdr:sp macro="" textlink="">
      <xdr:nvSpPr>
        <xdr:cNvPr id="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652265-3C35-4764-8125-7D69CF519E3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3374789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53FF05-CF42-4AA5-8E59-B17BAF07EC35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E96EAB-149B-4705-BF3A-8133A3B8C0CD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79F2E7-4DE4-49AE-B372-103C467ABE9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E4ECA1-DAD4-4493-A378-F736609D5F41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881893-EE12-4CB6-9D6D-320D032DBE80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1F69C8-5E3D-455D-80E8-6F904A5E8106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26A62-5F7D-4A5E-81CB-2BFC9589B41B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92C83-46F8-44D1-A829-66A7913B6FFF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42E72B-B59B-4ADB-89AA-1FA2F414AC38}"/>
            </a:ext>
          </a:extLst>
        </xdr:cNvPr>
        <xdr:cNvSpPr>
          <a:spLocks noChangeAspect="1" noChangeArrowheads="1"/>
        </xdr:cNvSpPr>
      </xdr:nvSpPr>
      <xdr:spPr bwMode="auto">
        <a:xfrm>
          <a:off x="15213169" y="6460901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665727</xdr:colOff>
      <xdr:row>0</xdr:row>
      <xdr:rowOff>40968</xdr:rowOff>
    </xdr:from>
    <xdr:to>
      <xdr:col>2</xdr:col>
      <xdr:colOff>899802</xdr:colOff>
      <xdr:row>0</xdr:row>
      <xdr:rowOff>646995</xdr:rowOff>
    </xdr:to>
    <xdr:pic>
      <xdr:nvPicPr>
        <xdr:cNvPr id="333" name="Picture 332">
          <a:extLst>
            <a:ext uri="{FF2B5EF4-FFF2-40B4-BE49-F238E27FC236}">
              <a16:creationId xmlns:a16="http://schemas.microsoft.com/office/drawing/2014/main" id="{69898BEB-760D-4FA1-995E-B3C3F689F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5727" y="40968"/>
          <a:ext cx="2857500" cy="606027"/>
        </a:xfrm>
        <a:prstGeom prst="rect">
          <a:avLst/>
        </a:prstGeom>
      </xdr:spPr>
    </xdr:pic>
    <xdr:clientData/>
  </xdr:two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F8DFB-B31C-4927-B94C-D7E86CF56AA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2C2FF3-196A-4EE2-87BB-7064343202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EF76A3-6C92-484A-8392-6831F9A140E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D9A4B2-977B-4B76-BE31-D74FEE5FAF1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D92F49-932F-45A0-AEF4-20D27684FD0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D2B27F-6143-4FCC-AA5D-0400F9BFA4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4392ED-C6FA-4348-B2D0-49AC69F1133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7E916-22ED-47DA-A6B3-CCC5077267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A352D4-5FA5-4350-8DA5-9138C87FF69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425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F6C245-D625-4CE1-A5BE-749989EC72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196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B05094D-FAD5-4643-B5DE-D4D1FC54B1B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29323-7410-4592-A6BF-79FEBAF484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E13E6A-5BD8-4D2E-B20C-AC52FECEFC8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9D4905-A9C3-4514-B148-C7EC19C4C58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0DCCC-C45C-4566-AECD-ED3C4F30D2A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EAAD79-5E6C-4A4C-A488-6A86566EEE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2020F3-6BD7-4126-AF3F-2AC21116F0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FE9517-848B-48DE-A9DB-BBD771752EC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DDC7F3-3BF5-45A9-8AEE-1E122621A95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6BE809-37A1-4640-B733-5FF4D0C514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2F2085-B907-434B-B6B5-B82BF19236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BCEF14-D4AA-4BD1-89C5-D096A975EBC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8B485F-A562-4056-901A-8799A2AADE1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D8D49C-501A-4B58-8158-5A3F945A941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DBBFB4-5085-4D5C-8E9E-D50F22B30EC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AC23E9-B0B1-4968-BCE8-18C36B4CF17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0D1053-EA76-4752-B59A-1A6560A04C4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3F3DC6-8C54-4BC2-84BA-2507F76C6D5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41310-9A3E-4027-AF43-E5C594AEB66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C9B1C7-6481-4EDF-B5FD-99990A41DD4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761665-EFF1-40B4-BF0A-6E2C577EC7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4B1127-2F5D-4B14-9EB5-D10D9D3BD6B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DDF62B-68E9-4E0E-A8CF-3D760C284FF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0C4201-DFD0-4D86-80CB-58F5D7D7EA5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1EB985-E5EE-4BCB-BC43-45E4B188CF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DFEEBA-E46A-4DC1-A8E7-36EE8841AB4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199</xdr:row>
      <xdr:rowOff>0</xdr:rowOff>
    </xdr:from>
    <xdr:ext cx="304800" cy="311150"/>
    <xdr:sp macro="" textlink="">
      <xdr:nvSpPr>
        <xdr:cNvPr id="3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192950-909E-4A6B-9AFF-0BE33B8531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30445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D511E-7E1A-403B-A180-DF25708BC5D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47D5DD-F873-4024-8A87-698767E2D2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556070-021E-4483-BD55-BFC7F83F147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362B1F-C80B-422F-84E3-3F462068C52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83C218-B0F8-4DAE-AF0D-3AA589DB2B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84023-DC39-4C3D-8008-CF0858A50B2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CDE37-26B8-4856-8AA5-5F1657AD98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BA9AC2-6BFF-4451-80B5-2073C3CBE4F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E831FF-7547-4478-9E46-B8D93EAC6FB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56353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35147-C7AA-4936-9CBF-6AD9A2724D2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A7FF98-48C4-4F21-8F9C-43CA7C7B146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79813B-D322-4B29-9135-706E53B26AF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5B694A-4B45-42AE-9E2E-D9C07F9092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D16778-8712-46C8-93F5-9B313181C19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75F0A-E093-4F54-B625-046B5A7CEB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DEB27A-6B62-4F64-B7DE-0E5A598701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87726D-CDC9-4E82-A5B5-06CFE691187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512</xdr:row>
      <xdr:rowOff>0</xdr:rowOff>
    </xdr:from>
    <xdr:ext cx="304800" cy="311150"/>
    <xdr:sp macro="" textlink="">
      <xdr:nvSpPr>
        <xdr:cNvPr id="3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183FB3-1F66-493F-86F7-3500D1584B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8888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A6945-008E-48D3-81DC-E4F1BA7573D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2663E5-0BF6-4D70-A23F-AF27749DE9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2F5C10-CDA5-4F92-BD14-0E98C25A1EF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72926B-2536-4775-B158-75D75D22B2C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171201-8C22-42BB-AF1F-3A1FCE327F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26C14E-1373-4E19-AD77-71A1D70BD21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6327A5-7F2A-45DB-9520-D4EF02658C0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65A0D3-E6C6-41D2-B6B3-A996D0C2D90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752D-B34F-443C-BC63-E018CC0F1DD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1E7916-6BFF-43D1-81F9-62E5A0FF13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3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FB3BD1-5255-4FF7-B139-6E7640941E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4D57DE-C55F-4DF7-ABFA-BE5EB5A6AB7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76A46F-D1AC-4582-9E25-DA4DBC5D99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31E6A9-0C77-4F39-8B31-23663A8D6DC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DB4892-082C-4F98-B843-FF82634BFD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BFF6DD-EA9C-4594-A7E0-E89E0A8BE7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BD6E2A-BF78-4CDB-ADB7-B0DE644DB6B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A9AE65-1AC8-49B1-B9E0-E6CA61F93D9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E71E5A-A895-4F35-99E8-61AD77216F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289D06-3C7D-4551-A175-771FA61EB7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4EACCA-5FE1-422F-827C-EB3A9031504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AFF995-BDBD-4FF4-9BA3-00FE0FF0640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E1865F-733E-4ADA-8D00-57CDC108C78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EA0B50-EB0B-4C6B-A9DA-635E49E4EAE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75A907-F296-4DB2-B2C4-A64ED0D688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17FE85-6E55-4B22-83C2-F27799748C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166DC-34DE-4726-A4F8-0FB877AC3C7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BB2D8-44BD-4D98-80F9-D3759AE7CE2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8E5209-026E-4BA5-951D-63D15F9138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0EE9B8-2ED2-495E-A8FD-2FC7FD507C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E24A1-6CA1-4DBD-A9E0-A0A6B08C03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AB2EC-385D-47BE-B10B-CDE70DBBC1C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82B1D-E455-4DDD-B898-5B82F6CBAC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0ECB0F-33BA-44A5-A078-FDD1B2FB9B7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E72034-E8C6-41C7-8201-4FEAAF9ED81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C0913C-E530-47B6-AB77-8A07E647FB5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599FB3-AD93-4D57-821B-187F3F7FEB7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0F69C8-3D24-4903-9F36-6818CF3834A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35EA36-3CCA-430A-8F56-08872BF1FC4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DC2054-3465-4FD4-8645-F40112B29D9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C98A34-1C1A-40FA-851D-D5C6B317B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415F7C-9AA0-41D9-B23E-B39D6919EC3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091B09-A52F-4E73-9209-8E1BD0F14BA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372179-38D7-45AC-86F3-6AB526444D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1F04E8-80BA-4204-9A3A-D9981B085EA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47C7B0-B2B4-44D4-92B7-B02314CBEB7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0748D-D971-4E7B-8652-DADDC3C0E96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6C5906-CE5E-4D72-B3D8-41A015521A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98DA3D-532C-40DD-80F2-0B1DC7F125E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147883-9866-4A17-8E04-CF270DAD37A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8A9E4-8273-4DD5-BC9C-DCF9F749598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FA0D94-B88F-4E9B-A25C-504322A582F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4F42B-9F4D-4B70-BAA8-32E36183881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8282E7-632C-4743-BE41-9387D2977A9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3382BB-9D54-4B8C-9AC3-20E77D1893F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AF448F-A147-4F2B-9250-605F949B5A7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95ADEE-75E9-425E-BAA8-129936862A8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DBEC21-A586-4664-8D7B-1BE797BEE9B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5ABA6-D6E5-4091-B8DF-0B99218CAC7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6A2CAF1-DB9E-4630-B0E5-0F566B8D8AF3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197</xdr:row>
      <xdr:rowOff>0</xdr:rowOff>
    </xdr:from>
    <xdr:ext cx="304800" cy="311150"/>
    <xdr:sp macro="" textlink="">
      <xdr:nvSpPr>
        <xdr:cNvPr id="4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4B0BE-491E-4625-B59F-71541491416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197</xdr:row>
      <xdr:rowOff>0</xdr:rowOff>
    </xdr:from>
    <xdr:ext cx="304800" cy="311150"/>
    <xdr:sp macro="" textlink="">
      <xdr:nvSpPr>
        <xdr:cNvPr id="4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86157B-217D-4AB9-ADF3-CBD6F770DAF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3716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59928A-77B3-4140-B2B1-13275E02072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CFAE32-C519-4F73-A705-93C3B8B7E6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423C70-F555-438D-86A0-97CCFC3C28CB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46C438-6A71-456A-9D46-350ACB773290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BB91D-FDAA-46DC-87A2-73D398D4B0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4A749A9-26DA-4FC1-AE06-F0F7C09ECB6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B65C59-FB7E-4CA3-9669-60BD581ED74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B354D0-8522-4E87-82F2-C5C218C59F8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68ED4-8389-427B-AE43-FB3387175A0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472206-217D-44BF-9359-8B0DDE882F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EF7D93-3EB2-441B-847E-B65717592FE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310E0-E7E2-49D7-BC5B-557C9AB869A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BBAAB4-BD89-4755-8D68-4762270F2D2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95B56E-08B0-405C-A540-FAD00F05561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A2AE9-DF25-4220-A932-D75F7F62055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750FE6-E9AA-4F39-9211-6235BF5AEF0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C6F328-3888-4AE0-8178-E37F071E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5E451B-0F0B-468D-8A61-EADA2EBEA38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B8206-5F71-4990-8205-141C8DA4B7B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DD263E-5D25-4C28-BE6B-BA88CB16921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7F246-0A06-4E16-88D8-A2A5D428A11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EEEC3-C9C7-47B1-8F30-CC001D3120C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4F32AB-8360-4821-924A-78F230B2CCC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FF3C6-9256-4764-8065-5B3BD22FE0F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8A5FB6-1155-4597-BE87-9155694C844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D66EE6-D251-4C8C-B527-7E897BD2EE0C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3AD1DB-576D-4DA4-ADDF-9D3340358F7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599ABB-7104-4B7C-B1E8-F063E1998E3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B61045-2A4B-4F6D-AE19-97C9D62E9CFD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556D83-707B-492E-A00A-DE421711E90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742B6A-2B57-41B4-AD61-EE662DDD1964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E8E2F7-1F10-47D7-A5D6-078F3AD9E3E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74EB9F-8E49-46FF-9DDC-D1333C68789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E7CBDF-FD1B-4345-B171-2382C224CD7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2B9073-97F6-4D73-A835-33B4FF8D4069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520CCE-AEB9-4AF8-8CD8-431E64771C9E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EF000B-75C8-4D0D-BF86-AB1D702A414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6A47EA-9B16-4672-820E-2CB73565EA85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7BEE35-0AEC-4BEB-A5B0-87C841D7451F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19EBB7-8E1F-4E67-8C81-35452D5A4076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983B2C-6CF6-4224-911A-AFB405CC5CDA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F86AA4-CCFF-4F21-BA0C-68D958BBF158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FF74D3-C9BA-42E0-9EAE-DCDAC0B0181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9A723-8A88-4CD5-A697-D8EB99F19927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334915-9285-410B-9429-D7DD646E22B2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193</xdr:row>
      <xdr:rowOff>0</xdr:rowOff>
    </xdr:from>
    <xdr:ext cx="304800" cy="311150"/>
    <xdr:sp macro="" textlink="">
      <xdr:nvSpPr>
        <xdr:cNvPr id="4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7811A7-5A38-44D7-AB3A-950EB81C3901}"/>
            </a:ext>
          </a:extLst>
        </xdr:cNvPr>
        <xdr:cNvSpPr>
          <a:spLocks noChangeAspect="1" noChangeArrowheads="1"/>
        </xdr:cNvSpPr>
      </xdr:nvSpPr>
      <xdr:spPr bwMode="auto">
        <a:xfrm>
          <a:off x="17410545" y="12238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91</xdr:row>
      <xdr:rowOff>0</xdr:rowOff>
    </xdr:from>
    <xdr:ext cx="304800" cy="311150"/>
    <xdr:sp macro="" textlink="">
      <xdr:nvSpPr>
        <xdr:cNvPr id="4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9A4CD4-DEAC-4063-A5DE-440B17C4B1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093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105</xdr:row>
      <xdr:rowOff>0</xdr:rowOff>
    </xdr:from>
    <xdr:ext cx="304800" cy="311150"/>
    <xdr:sp macro="" textlink="">
      <xdr:nvSpPr>
        <xdr:cNvPr id="5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DA1BEE-5A6B-4E3D-95D7-774077E181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3011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</xdr:row>
      <xdr:rowOff>0</xdr:rowOff>
    </xdr:from>
    <xdr:ext cx="304800" cy="320094"/>
    <xdr:sp macro="" textlink="">
      <xdr:nvSpPr>
        <xdr:cNvPr id="5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BB5A59-60F1-4868-B241-B10CE3F9FE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106727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47</xdr:row>
      <xdr:rowOff>0</xdr:rowOff>
    </xdr:from>
    <xdr:ext cx="304800" cy="320094"/>
    <xdr:sp macro="" textlink="">
      <xdr:nvSpPr>
        <xdr:cNvPr id="5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A2E285-5C09-4D3B-886E-CBF279669A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924636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119</xdr:row>
      <xdr:rowOff>0</xdr:rowOff>
    </xdr:from>
    <xdr:ext cx="304800" cy="320094"/>
    <xdr:sp macro="" textlink="">
      <xdr:nvSpPr>
        <xdr:cNvPr id="5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3AF49-870A-46CA-9D26-B5D98C96F8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1880273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135</xdr:row>
      <xdr:rowOff>0</xdr:rowOff>
    </xdr:from>
    <xdr:ext cx="304800" cy="320094"/>
    <xdr:sp macro="" textlink="">
      <xdr:nvSpPr>
        <xdr:cNvPr id="5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9E7E4E-D8BE-489D-920C-CB8F91C246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4835909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151</xdr:row>
      <xdr:rowOff>0</xdr:rowOff>
    </xdr:from>
    <xdr:ext cx="304800" cy="320094"/>
    <xdr:sp macro="" textlink="">
      <xdr:nvSpPr>
        <xdr:cNvPr id="5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CFEB6E-1CB1-452C-BB01-A44F3E6151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17791545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60</xdr:row>
      <xdr:rowOff>0</xdr:rowOff>
    </xdr:from>
    <xdr:ext cx="304800" cy="320094"/>
    <xdr:sp macro="" textlink="">
      <xdr:nvSpPr>
        <xdr:cNvPr id="5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4877A6-D035-4D61-9380-0E22F53C7B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20747182"/>
          <a:ext cx="304800" cy="3200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CCE463-FCFA-4602-B903-4B680728F4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FBCE5-5F19-426E-B37E-3EB9956407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8AB4E-F8BA-4828-B716-6091D10AC0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1B561-D7F5-4CCB-83E8-588AC92778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42110-7A94-4E8B-8AA3-AD72CE0A72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A1D32BF-5B53-4917-B3AA-377E4191BA4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5AF97A-F1E6-4244-B066-8350FBE37C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001496-9700-42E9-A9C6-BF09C13E97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7F527A-C48F-45AC-A002-8C254FBA22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7372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FD511D-AC2E-4048-BE52-938265C0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EEA05F-882E-4EEF-8FAD-613602C165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E3DE35C-7754-452D-AED6-20AF60613C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3D1541-5CD1-4060-A12D-66CD803E80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178E65-5D63-42E6-A08B-E173FB99B6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DDA610-ECE9-4708-8AD5-CFF5728B1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18C964-1109-4A84-8C43-0EE2FB201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B5CAF-349B-4BC2-BFA1-7C3261BD77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DAA6504-CBD9-474B-8B25-0BE555317C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35987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A67CC7-77FA-4A92-9EEC-9AD78C776A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E7C1044-8745-412A-8149-3209FAEB5A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820DCC-50AD-4303-B427-7280C6C200B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22E309-88BB-44DD-96C1-EA348EA95C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5B7CB5-F31B-47C4-9BDB-363B06098E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3FFF1F-B36B-46D1-951F-F01726025E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87779B-7924-4B4F-ACC5-F5227E0EE8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59E4F5-0C07-49C4-A3AA-1936AE43ED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37C089-5B70-4DAC-A4E5-7B646D67FC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81F7AD-9C7C-49AD-914A-D38962EC51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A9B0FC-37B1-42CC-BC8C-7CCABEC894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C3E3B5-ADA8-45C3-AA3E-98C9AD918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47BCF7-8E6E-4C66-9E3F-E67C0D3FF6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00626-8137-4AAA-9529-D8D0FD5B12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8B499B-E2B9-4913-B0D9-E67FC772A4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9264D9-8FAE-456D-9243-A51506CF33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EA2567-0BD6-4FD1-83C7-E1FD7AB62D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D44306-9DCA-485A-BE0F-8AB557471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5DDA43-182F-4C8A-AD57-02C7CBE566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761C7-0369-41EA-A0A7-6975582052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77BCFC-4BE2-4FA8-BADB-ACFE2DCB79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4713A9-876D-4A78-A972-5A638984B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1105C6-C0F1-4935-9014-D5D65F69CE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25C92F-6B39-4DDC-A702-DB03A99249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3008FD-A606-4C30-A65F-ED0190472F0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4ABB48-6478-45A5-AB51-F73059B4AD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6C2729-C2B7-4494-B7BE-10712169BC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956AC1-3964-45CC-85BE-AAC620A4F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6D77D0-D8A6-4EEF-B0F4-A0C55A732D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0F60A2-FA55-4FC3-9F2C-D4F5BB726C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FAFCC1-6BCC-48EF-A1D1-CC0A0987C3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04BB1-DED3-40A7-830C-17FB676A81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C29D98-BDEE-4BDD-B745-28AABF170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4A7FAA-0B12-4391-8439-33F7F7AD1D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40DF5B-D5BD-443D-B462-8594B8F9FF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5963D-FD38-4963-AE68-DEC655FF57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85A4F1-08CD-4035-9507-7D00BC388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280BB-7284-4410-9D47-925BD2F275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009284-B371-4AA8-B9E9-F8A9FEBFA7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055D3D-FBD6-4CCB-91D6-278C8AD9A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CD8B723-7826-4BD3-9D68-DBC4C958FD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D3D051-C609-4555-85EE-D2CB7E1D0A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C579FB-7ACD-49A4-999E-58155ADE5C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C46BCE-325F-4E39-99E4-FCB1676AC6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ECF1C-15E9-4599-8BD5-CCC10AA5A7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AA3AF1-C26A-4E42-8259-E6287BFA64D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A8710C-22B9-4917-B776-87C996AADB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F3042-5C46-4CFE-9A50-7C08A9D59C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D3CD7-DDB3-4C83-BF2F-21B0BDBEA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346D5B-42B1-4FAA-8436-40520C955F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75E7F7-7E01-4758-B694-690EE15F3E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928850-D0C8-4495-AB2C-A327CCBD34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49D249B-2B31-49FC-9852-FE651153B5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6B0A5C-B987-4A20-AD29-DBCFD4A77E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54C87F-1981-4A05-8E83-3A245DBBFB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57547D-0EE7-4C80-9680-7A37568FDC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38D8F1-C194-4FA0-85F3-D3C46FA6AB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27912-6678-4AE1-B31F-9C68358D1C2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8F501A-72DB-4B40-B059-19B2950173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BFA34D-8FA9-4CF2-8DAD-F070C5DBF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21D6D6-1E90-4B9A-B128-DA0334F71D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8613DA-FEA1-41A1-A0E3-D756ED83E0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C8DACB-128C-4495-B607-DCB834E3DF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4FDE50-6DC3-4661-8613-D50923FB31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3D3F9B-0BB8-4375-9692-CC7322E5F1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35ECC4-899B-4DB8-9BA1-EA83F9E635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092CA0-0010-4879-96D4-4638E45B23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CE883D-46C6-4BC8-970E-9ED1854150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86206C-D5A2-4A97-A3B1-86A0568E15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7D7191-693A-422A-A39F-D467398246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AFA73-E2BE-4116-9B3C-E0DA0DB6D1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E8F8CD-B297-461A-93DB-CF588480D9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31655-8B50-4ECE-95F5-D7FCA9A978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2EC006-7834-481B-8873-952A29582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5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6FE5B9-9CF2-4A13-BF33-36EBCC182F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9ED92B-EA6E-4DD8-998C-51EE2EB36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DE8E6E-5F45-4523-A91A-E5B4271FD0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3D3EFE-D13F-458E-9420-AD324D77A2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788374-41BB-4C12-9871-0F896591C7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48F6F-2E7A-47E9-BE5D-0BB612BD9C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76EC2B-DE7D-4931-97B4-4CD31B9B6F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6EEC51-2E2F-45D0-8468-DBC3D26E48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95D567-A05E-47D5-9144-9ED260491D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C685D-4DD4-4DA3-A9D4-F37805D0E0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A9E34D-75F3-4CF7-9FCD-30E6A49782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56A6AA-1B55-49E7-AB0C-AB2CF366A9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7158D3-A535-4700-BBC9-CBCF626C89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E00E-4867-48D1-8897-05976496D7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AD9AE0-4028-4038-A9C7-008D18503E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313</xdr:row>
      <xdr:rowOff>0</xdr:rowOff>
    </xdr:from>
    <xdr:ext cx="304800" cy="311150"/>
    <xdr:sp macro="" textlink="">
      <xdr:nvSpPr>
        <xdr:cNvPr id="6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170EAB-FD7F-44D1-BAD1-25997C5050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325E3-ED8D-424F-83E5-4F4B6A285F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1D47B9-B3F8-4E52-AFA6-641666509D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C60D6-1DF5-48AA-B4BD-099D6358BD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8EA811-4B57-47D0-A628-BC3228D9AD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39176C-E2E7-4127-9050-1EC8B2870A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33CFE7-8266-40C1-A14F-92C40BF4C00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C20C66-F75E-4DCB-82BA-4C980366E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311</xdr:row>
      <xdr:rowOff>0</xdr:rowOff>
    </xdr:from>
    <xdr:ext cx="304800" cy="311150"/>
    <xdr:sp macro="" textlink="">
      <xdr:nvSpPr>
        <xdr:cNvPr id="6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6A9B1-0F79-4DD3-99FF-0A8DE8C024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311</xdr:row>
      <xdr:rowOff>0</xdr:rowOff>
    </xdr:from>
    <xdr:ext cx="304800" cy="311150"/>
    <xdr:sp macro="" textlink="">
      <xdr:nvSpPr>
        <xdr:cNvPr id="6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C14C70-91DE-4D40-B32B-FDA784EB8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6F914D-EACA-4CDD-97B6-5522EA4B4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FA3D60-9DAC-4AC7-B656-EAE2152261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72285-6EA3-4166-8E39-90820224FD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C8E0C-B0AE-4FEA-9643-FC7AC58192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69E4C4-7835-4257-8DA0-B7A2683D9A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11548F-C572-4681-B86B-8F6D45B2B3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DB2F0C-46B8-4D6B-A97A-C1CA0CDC1B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3FD1D6-9D2A-4C8D-84F4-3CC0222E334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307</xdr:row>
      <xdr:rowOff>0</xdr:rowOff>
    </xdr:from>
    <xdr:ext cx="304800" cy="311150"/>
    <xdr:sp macro="" textlink="">
      <xdr:nvSpPr>
        <xdr:cNvPr id="6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07315F-0F8A-463E-BC71-4B0812977A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611995-C5DE-43AA-B74B-D507FA366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D27E05-00C7-47C9-BF58-98E37A8A39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4F6F18-FB25-4740-BAA1-441C4DB180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F391AF-E4E6-4586-A20F-24DF211D88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B81EAD-49FD-4AAC-B3F9-9A9E8A1A9D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DAF3E09-1CA8-42D7-8371-242B82A7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A1D5197-E111-4F16-81CD-440188914D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305</xdr:row>
      <xdr:rowOff>0</xdr:rowOff>
    </xdr:from>
    <xdr:ext cx="304800" cy="311150"/>
    <xdr:sp macro="" textlink="">
      <xdr:nvSpPr>
        <xdr:cNvPr id="6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D91CCA-4242-4777-9E4A-1D1C2AE290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305</xdr:row>
      <xdr:rowOff>0</xdr:rowOff>
    </xdr:from>
    <xdr:ext cx="304800" cy="311150"/>
    <xdr:sp macro="" textlink="">
      <xdr:nvSpPr>
        <xdr:cNvPr id="6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4F00526-346D-4023-B75F-1CD735B180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C9DFD2-4159-4281-A9B1-91A6E14F95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4E7625-269D-4284-8247-9412E603A6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8A966D-5F3E-436D-B6E0-1F3F467579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3BFF4C-7D01-486B-BDB5-8187DA9BB27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817636-1636-49B5-86C9-99AB9F47C2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73467A-A5B3-47A1-9F5A-8010D48463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347DF1-413F-4E7D-B7E2-3CF9B57CEF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88C7D1-57CC-444D-80C1-649F7D3E06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301</xdr:row>
      <xdr:rowOff>0</xdr:rowOff>
    </xdr:from>
    <xdr:ext cx="304800" cy="311150"/>
    <xdr:sp macro="" textlink="">
      <xdr:nvSpPr>
        <xdr:cNvPr id="6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0FFEF4-2ACD-4CF9-B150-056BBCCDBA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7B7555-D316-4E46-900E-93F333A90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61B0C9-402B-486C-A035-2D87788BC3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99042F-9C11-4678-BDD8-4D2A575CC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33C2A7-DD1A-4E9C-B7E9-007423D30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C52285-3F4D-42EF-B021-2A6CD982E3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E47D6AF-7BAE-4F80-A5C0-30626C40CA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1A2B25-E68E-4B9B-B412-2B54248BCD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299</xdr:row>
      <xdr:rowOff>0</xdr:rowOff>
    </xdr:from>
    <xdr:ext cx="304800" cy="311150"/>
    <xdr:sp macro="" textlink="">
      <xdr:nvSpPr>
        <xdr:cNvPr id="6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498929-AC8F-4E66-853F-CCFB9D1D0C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299</xdr:row>
      <xdr:rowOff>0</xdr:rowOff>
    </xdr:from>
    <xdr:ext cx="304800" cy="311150"/>
    <xdr:sp macro="" textlink="">
      <xdr:nvSpPr>
        <xdr:cNvPr id="6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F44E6E-7EA9-4C54-B210-5C70DA98DB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C34E10-46D9-4D0A-80AD-90070C38E3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99F876-C01B-46E4-A871-604AC46706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59A488-7DB5-4C26-82F2-2AF854B782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9F874-205C-428A-9C3D-F16B498B4B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C95EF1-1362-45E0-A83B-73D1605D46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11B9374-ED17-4026-9108-0A9B64C966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7255D9-0218-4BD3-B19E-3B406E8CE8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644B26A-F07A-4907-A811-3BE880F4B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295</xdr:row>
      <xdr:rowOff>0</xdr:rowOff>
    </xdr:from>
    <xdr:ext cx="304800" cy="311150"/>
    <xdr:sp macro="" textlink="">
      <xdr:nvSpPr>
        <xdr:cNvPr id="6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68AA43-28A2-4635-916B-19F4A035B5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8F7B11-3CE2-42F5-A7FF-1B7B9981C7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1DE78E-72D0-4F55-A8F4-D174041017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C37EBBE-8262-41D7-8599-51DEE517EE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191895-9908-41C1-A0BA-0A41B600B4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4AF0D2-FCEF-46E4-8E93-222AF55FC3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474996-A0E4-4BFE-87FF-024AB6D965C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8817F5-51C4-47AA-B63D-A1FF9C314A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293</xdr:row>
      <xdr:rowOff>0</xdr:rowOff>
    </xdr:from>
    <xdr:ext cx="304800" cy="311150"/>
    <xdr:sp macro="" textlink="">
      <xdr:nvSpPr>
        <xdr:cNvPr id="6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6AC5E-6F5B-4B6D-9568-DB0D989B1A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293</xdr:row>
      <xdr:rowOff>0</xdr:rowOff>
    </xdr:from>
    <xdr:ext cx="304800" cy="311150"/>
    <xdr:sp macro="" textlink="">
      <xdr:nvSpPr>
        <xdr:cNvPr id="6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B42013-8451-4FED-A822-9300938994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01726E-38B9-4E9C-9D9D-541FF63A363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132126-23E4-4372-9129-494820AEC4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2AA8E-882E-47C5-B9C6-52EB04D67B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6614A-4C24-4988-B026-616AB8D43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47F218-9CFC-4D7C-8A1D-94F02BE73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08C771-1BE3-44B2-8B2A-170B7263E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F947E-7AA3-43FF-82D8-AE58248483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B3EAAC-789A-422C-B032-8D1F6FC9A6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289</xdr:row>
      <xdr:rowOff>0</xdr:rowOff>
    </xdr:from>
    <xdr:ext cx="304800" cy="311150"/>
    <xdr:sp macro="" textlink="">
      <xdr:nvSpPr>
        <xdr:cNvPr id="6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C6999-2D79-4F78-9AAF-D2618ED16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16B462-D496-49C7-847F-A684AC654E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97DABB-09B2-453D-BC45-617DEEE9B1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481876-1AF3-4D92-95FF-EE9A0ED6CC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C2DEEA-2C12-4237-94A2-0486862FF9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A5D256-CEB8-438A-85A2-EFA9B658FB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BA9086-1862-442F-B5FF-4D093DE8F5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C52199-03B3-46C7-B3A3-DD2B4D4F4B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287</xdr:row>
      <xdr:rowOff>0</xdr:rowOff>
    </xdr:from>
    <xdr:ext cx="304800" cy="311150"/>
    <xdr:sp macro="" textlink="">
      <xdr:nvSpPr>
        <xdr:cNvPr id="6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F66E33-C14C-448A-856B-FB1911B2C4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287</xdr:row>
      <xdr:rowOff>0</xdr:rowOff>
    </xdr:from>
    <xdr:ext cx="304800" cy="311150"/>
    <xdr:sp macro="" textlink="">
      <xdr:nvSpPr>
        <xdr:cNvPr id="6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A677F-456A-4376-8D1F-F304E0413B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A057A0-63C4-4528-B0F3-6030E462CF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97B5EBF-5BCA-4067-8647-CF0EBBAB53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B0090-E9B3-4245-8DA4-6551B5F669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6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0B132C-C1ED-4DFE-BAF1-96D741691F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2DBCB1-5C76-460A-B381-90CC169C5F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E8979F-02F6-4C07-BC00-1E50817E3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7B86CBD-8146-4B4C-8D27-C4EE7F154B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55C9D6-5F99-43DE-B87D-CE3877CBEE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283</xdr:row>
      <xdr:rowOff>0</xdr:rowOff>
    </xdr:from>
    <xdr:ext cx="304800" cy="311150"/>
    <xdr:sp macro="" textlink="">
      <xdr:nvSpPr>
        <xdr:cNvPr id="7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76B2D-B89C-4459-8DBC-E3CC8F0304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E183E7-9D35-42E6-AC2B-0276E3CA5A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90847E-6EF8-48E2-90B6-1983EE60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249D9-A6BC-4A84-92E7-58013AA913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D90F2-4145-4BEF-8344-BE9CDCE3F7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B8AEEC-D96A-41AB-9F79-BAC7D0819B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D43158-E032-4960-AD01-0A33048206C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C9C485-AC47-4388-87D9-387F41B031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281</xdr:row>
      <xdr:rowOff>0</xdr:rowOff>
    </xdr:from>
    <xdr:ext cx="304800" cy="311150"/>
    <xdr:sp macro="" textlink="">
      <xdr:nvSpPr>
        <xdr:cNvPr id="7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D09C25-839C-4D1C-A360-74D15DDEA5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281</xdr:row>
      <xdr:rowOff>0</xdr:rowOff>
    </xdr:from>
    <xdr:ext cx="304800" cy="311150"/>
    <xdr:sp macro="" textlink="">
      <xdr:nvSpPr>
        <xdr:cNvPr id="7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0B21F2-403E-4FD8-AB89-5D1B856F63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1E9C4B-5153-49B0-8BBB-8FA17997AB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245BD-28D4-4303-9CBD-0C346F70B4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8F88E7-3E3A-4170-B67E-833BCC6336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687A621-EC09-4D28-BB71-BE5A6A39D0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9F9BA1-5F56-41A7-A7AA-FBD0D9B37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EB5CDE-84AD-411D-B9CC-AAB579E8ED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82A55-A65F-477C-A40C-A75EB61C36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D110C-02F5-4A79-8F0A-4FD28A875EB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277</xdr:row>
      <xdr:rowOff>0</xdr:rowOff>
    </xdr:from>
    <xdr:ext cx="304800" cy="311150"/>
    <xdr:sp macro="" textlink="">
      <xdr:nvSpPr>
        <xdr:cNvPr id="7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F24F9EB-B2A0-4B4B-8EFC-98775352355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818395-A4A7-41B4-9CDB-73BB9BACB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E0AD6F-C3F0-46E2-8EF0-F2786CBC9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7F7260-30E9-4A42-8C63-993FB1A44E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05C0A-153F-4033-8D1C-981763AB4A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44D792-B37E-4C91-AD2F-B3CC3BCBA27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268F3F-BD5B-40FB-BE52-1839545E8B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2D5D8B-0731-483D-8F5D-E5105D710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275</xdr:row>
      <xdr:rowOff>0</xdr:rowOff>
    </xdr:from>
    <xdr:ext cx="304800" cy="311150"/>
    <xdr:sp macro="" textlink="">
      <xdr:nvSpPr>
        <xdr:cNvPr id="7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36DEA-29A6-4FC9-883A-431B38230A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275</xdr:row>
      <xdr:rowOff>0</xdr:rowOff>
    </xdr:from>
    <xdr:ext cx="304800" cy="311150"/>
    <xdr:sp macro="" textlink="">
      <xdr:nvSpPr>
        <xdr:cNvPr id="7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603B3E-E8C3-47AB-BFE2-B496EBBD57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858973-153D-4CD1-92E9-A3EEED4D35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18B990-DBC3-4312-8ED1-51B201C1E9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DC78F8-2FA9-4FDC-80F0-C394C4C7C2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0B928-43AB-4397-A84B-DC2AD8FBD1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AB105B-57DC-4121-B6AA-887A0DA459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0646C7-C5AA-4A00-828B-ABFC4C9B8CD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0F9917-9D7F-42B1-A6F1-FD5EDF9AFEA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6C28CD-7AF0-414B-A276-8078CE763C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271</xdr:row>
      <xdr:rowOff>0</xdr:rowOff>
    </xdr:from>
    <xdr:ext cx="304800" cy="311150"/>
    <xdr:sp macro="" textlink="">
      <xdr:nvSpPr>
        <xdr:cNvPr id="7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9F66E-9F2F-4683-9EBD-D9FCBC626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B0D2AF-F79D-430E-B0A1-A49A634588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E15E90-F231-419B-AFF6-C9575C0AC5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B78D69-A59A-4C5B-B34C-2B797F076D7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B4859F-6C25-437A-9BC7-2C8634C29E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08468B-1CD2-4E9C-899B-C4A665BE95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811DA-660E-4E9C-80D9-B3DBE95DF6B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FC617B-976E-4A2B-BCB3-B6FDD33334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269</xdr:row>
      <xdr:rowOff>0</xdr:rowOff>
    </xdr:from>
    <xdr:ext cx="304800" cy="311150"/>
    <xdr:sp macro="" textlink="">
      <xdr:nvSpPr>
        <xdr:cNvPr id="7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DF71A9-BAD5-4310-9360-026D2E90DC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269</xdr:row>
      <xdr:rowOff>0</xdr:rowOff>
    </xdr:from>
    <xdr:ext cx="304800" cy="311150"/>
    <xdr:sp macro="" textlink="">
      <xdr:nvSpPr>
        <xdr:cNvPr id="7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60F8C6-0D8A-4BF1-A896-C311A07A96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F4B05B-E32F-41E2-AB74-20640C9E78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168307-1CDB-4E76-96B6-07B00E0892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CBE24D-8562-4075-BC55-8FF8A8FBF5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1616AC-C664-4344-B818-61B8709CCA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F56179-7A10-44E9-8BD8-624708FCC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74CFF-D38E-43FE-97F0-5386AF4E2E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ACAB01-69FC-4FA3-BEA0-007EC9B0A2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FC0EDC-EBE7-42AA-9340-50FA10E55AF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265</xdr:row>
      <xdr:rowOff>0</xdr:rowOff>
    </xdr:from>
    <xdr:ext cx="304800" cy="311150"/>
    <xdr:sp macro="" textlink="">
      <xdr:nvSpPr>
        <xdr:cNvPr id="7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70FE578-367F-4C12-87AB-0C3494CB41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550661-E63A-4F86-86CD-36C9CA6C9A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CCCA94-0F58-4CC7-B891-BB60ADCDDD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2BF082-2532-46D4-A825-E222D9F427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FA4B26-BB63-4010-A27E-68387F93B6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2A6B4-C2A0-4BEA-A65C-E34DCCD1B1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A45F61-E950-4D83-BA79-25402190B9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7996D9-F8F5-4550-BDE0-731AC7D35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263</xdr:row>
      <xdr:rowOff>0</xdr:rowOff>
    </xdr:from>
    <xdr:ext cx="304800" cy="311150"/>
    <xdr:sp macro="" textlink="">
      <xdr:nvSpPr>
        <xdr:cNvPr id="7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2AE9CF-FC72-4461-9188-D967EA2E5E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263</xdr:row>
      <xdr:rowOff>0</xdr:rowOff>
    </xdr:from>
    <xdr:ext cx="304800" cy="311150"/>
    <xdr:sp macro="" textlink="">
      <xdr:nvSpPr>
        <xdr:cNvPr id="7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73AA0D-3A45-4C09-BCE0-0EFBB35355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CF48DB-839C-4785-99EE-9CF0DAFEA5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B429E81-20B7-45CA-BBAA-B571B994C4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A5E3200-C4D8-436D-BC70-286AD4E08A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5F5331-7931-47DB-ABC1-2BA5715E7A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2E56BE-8D6F-45DD-A633-7EFE7B9BEFD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017B6-EADF-4777-BF8D-1EA7FB9EE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3FEDFC-DF0F-4732-AFED-12E6756CAE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669228-8ED7-4D0E-8FAF-23C9C12C4D1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259</xdr:row>
      <xdr:rowOff>0</xdr:rowOff>
    </xdr:from>
    <xdr:ext cx="304800" cy="311150"/>
    <xdr:sp macro="" textlink="">
      <xdr:nvSpPr>
        <xdr:cNvPr id="7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F3F4EC-5F7E-4BCB-A20E-13B09A6018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A34800-F43D-4FDB-BD96-7AAA422AC5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5A0340-DA7B-47F5-A9FF-A3EC6F5AAB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61907E-F0AB-469C-B196-318C37EAB24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DA594D-DB56-49A8-99D6-02ABCD08D3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21AF3F-0334-4F48-97E6-95ADE12B8A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D6AA305-E96B-40A0-BD52-D4A8F419D89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957009-7EF5-495E-9320-24D98E5749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257</xdr:row>
      <xdr:rowOff>0</xdr:rowOff>
    </xdr:from>
    <xdr:ext cx="304800" cy="311150"/>
    <xdr:sp macro="" textlink="">
      <xdr:nvSpPr>
        <xdr:cNvPr id="7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4EBC8C-2C14-4DB4-AFF5-0C0FF9327A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257</xdr:row>
      <xdr:rowOff>0</xdr:rowOff>
    </xdr:from>
    <xdr:ext cx="304800" cy="311150"/>
    <xdr:sp macro="" textlink="">
      <xdr:nvSpPr>
        <xdr:cNvPr id="7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864A39-B2F6-4449-84EC-AE8011597C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AFC59E-B4BD-416E-B044-834A948053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86E249-ED9E-4A67-A831-CF3BD75EA3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E1549E-9F8E-42CC-A548-A58B14A8F7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26468E-0341-435E-9F9E-9CCEFE6B3A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A226DDD-0D68-4BCA-A559-6F952B4469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40649D-8CBB-4CAC-BAAE-3070AF876C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452D0C-5F0D-42FE-B6EC-5A6C1B628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16CFA5-89A3-4517-BFE1-1AEB5B5190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253</xdr:row>
      <xdr:rowOff>0</xdr:rowOff>
    </xdr:from>
    <xdr:ext cx="304800" cy="311150"/>
    <xdr:sp macro="" textlink="">
      <xdr:nvSpPr>
        <xdr:cNvPr id="7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A375BA-4C27-4ABE-9B07-2D58B57975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EEEFF7-33F3-4F0E-BFC6-1A37C0E4CC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9E248D-CC36-4A5D-A295-030B0BBCE4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DFB4DC-CD45-4256-A9B6-DEF76CE40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4EEEA4B-BD4B-4FE9-9F5B-EF53D72D28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7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AE9033-6223-49BF-9614-73E3353B8B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08F2AC-0DD5-49CE-A26D-09673FA2D5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31FFEF-E847-43E9-91F3-836900A060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251</xdr:row>
      <xdr:rowOff>0</xdr:rowOff>
    </xdr:from>
    <xdr:ext cx="304800" cy="311150"/>
    <xdr:sp macro="" textlink="">
      <xdr:nvSpPr>
        <xdr:cNvPr id="8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4DDB1D-04E8-4943-91BF-61AD5E18DD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251</xdr:row>
      <xdr:rowOff>0</xdr:rowOff>
    </xdr:from>
    <xdr:ext cx="304800" cy="311150"/>
    <xdr:sp macro="" textlink="">
      <xdr:nvSpPr>
        <xdr:cNvPr id="8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F75AD-77FB-4888-AA76-17AFAD1103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962D3A-EA92-4E87-B6E6-DF8BCCD39DE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397DE-0EDE-426C-84C2-87CF15B7D1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FF47387-3ABC-48BD-8FD7-5A0ED14BB6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BEBE0-938A-4B87-B680-443449F8D7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EED3D5-CD5E-43CF-BCD0-B54B764AF3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853E40-91D5-42C5-A13E-D8E2113643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82F792-6C6E-475E-8918-10C8E40E4C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ECA292-2E57-41DC-8FEB-5A0FEA07CF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247</xdr:row>
      <xdr:rowOff>0</xdr:rowOff>
    </xdr:from>
    <xdr:ext cx="304800" cy="311150"/>
    <xdr:sp macro="" textlink="">
      <xdr:nvSpPr>
        <xdr:cNvPr id="8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F97C08-0138-4E88-8E91-7C8EE5C893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36C759-19E9-4005-94D3-063B7B3A6B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6FE878-7EE8-467F-8330-0A907052C0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CEA474-A120-4AD0-8C12-226C88E81B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7F4D3-AD46-4E34-9108-360369E9F1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34AEFE-4525-4CE5-A878-8903D812B2D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4EEB0-F301-4723-B59D-F688EC23C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D9F78-F84A-44BD-B9D8-8ACCD7D98AA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245</xdr:row>
      <xdr:rowOff>0</xdr:rowOff>
    </xdr:from>
    <xdr:ext cx="304800" cy="311150"/>
    <xdr:sp macro="" textlink="">
      <xdr:nvSpPr>
        <xdr:cNvPr id="8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E2FF79-C17F-4E40-9A8B-80DEA3F99A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245</xdr:row>
      <xdr:rowOff>0</xdr:rowOff>
    </xdr:from>
    <xdr:ext cx="304800" cy="311150"/>
    <xdr:sp macro="" textlink="">
      <xdr:nvSpPr>
        <xdr:cNvPr id="8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0DE51B-8FA9-4163-B7CD-98062BB3F9A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6EBD79-2F82-4856-AAFF-E53AC3D969A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C6CCB8-9CB2-4717-9537-C32B4C73ED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060294-AEB1-4F44-8D4E-39DCCAA9FA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72FADF-4128-4304-A1F2-39E794600E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13310E-9649-439F-A68C-B8AFFEEFB4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2FF1C9-E04E-4093-AB28-5B3E077A520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366495-263E-4356-B77B-F2044BE63D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380C5-9350-46A1-929A-E670979709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241</xdr:row>
      <xdr:rowOff>0</xdr:rowOff>
    </xdr:from>
    <xdr:ext cx="304800" cy="311150"/>
    <xdr:sp macro="" textlink="">
      <xdr:nvSpPr>
        <xdr:cNvPr id="8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9052A6-2340-4B12-803D-222F40AE13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83A85C-D39C-4AC4-AE02-610F41B985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11B95B-D0D0-4365-B5AE-7044A1C962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89E64D-BD95-4AA6-AD22-DD82FE83A2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9D1526-A6C4-4CF3-89BC-7EF4CD77B6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19CA68-FD2B-48C4-A757-C769619EEC8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38859D5-A028-4539-B938-A22753859B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050B56-6947-46C9-B3BB-4350EA1B0B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239</xdr:row>
      <xdr:rowOff>0</xdr:rowOff>
    </xdr:from>
    <xdr:ext cx="304800" cy="311150"/>
    <xdr:sp macro="" textlink="">
      <xdr:nvSpPr>
        <xdr:cNvPr id="8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05DD25-C28B-4696-A4A1-D7A1119ECE1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239</xdr:row>
      <xdr:rowOff>0</xdr:rowOff>
    </xdr:from>
    <xdr:ext cx="304800" cy="311150"/>
    <xdr:sp macro="" textlink="">
      <xdr:nvSpPr>
        <xdr:cNvPr id="8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76A07D-94A4-4140-A11F-0792971E0D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AE36F1-B06D-408C-BB44-E5DA0B0B54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A14B60-8844-40C6-A264-52225BA5FE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7F2291-D3D4-4262-8612-588F0E35F7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5BB0A1-843D-4BD8-8842-9ECCEAAF8C8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DA8D0B-2FD8-49E2-943A-4E78EEC8BF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140F91-950F-4FFA-8CF5-1FA1046AE2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0FD13F-6587-4FA5-B90B-A57C6CA1C40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335D1D-738C-4950-940E-35FA23EDF6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235</xdr:row>
      <xdr:rowOff>0</xdr:rowOff>
    </xdr:from>
    <xdr:ext cx="304800" cy="311150"/>
    <xdr:sp macro="" textlink="">
      <xdr:nvSpPr>
        <xdr:cNvPr id="8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7AAC51-85F4-438F-92DB-03F225F133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173C884-C424-45B2-B5CE-79D67D81195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9463C7-5C90-4525-8993-9462C7CA06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2019A6-0DA2-4EA2-869B-AFD2472E18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2D2AA34-E68C-4D01-AEF1-4092EB48C9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333519-781D-454B-B6B0-B16F62848D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699088-34A9-4868-B475-FF054A2BDF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537388-A02B-4D69-AE8F-7F7D6D5A68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233</xdr:row>
      <xdr:rowOff>0</xdr:rowOff>
    </xdr:from>
    <xdr:ext cx="304800" cy="311150"/>
    <xdr:sp macro="" textlink="">
      <xdr:nvSpPr>
        <xdr:cNvPr id="8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73CA7D6-D922-48D5-AE0E-27C7E0FF2E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233</xdr:row>
      <xdr:rowOff>0</xdr:rowOff>
    </xdr:from>
    <xdr:ext cx="304800" cy="311150"/>
    <xdr:sp macro="" textlink="">
      <xdr:nvSpPr>
        <xdr:cNvPr id="8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8091A-D9E2-4737-BE5D-AACAF20EB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D4CAA9-CB55-4EF7-A968-F8E8FC03C0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5790CC-7878-4354-B3A1-0A59AC25C5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7E615-000B-4D15-AA4D-3E23E3A2A1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E705CB-AD9E-48BD-A007-61C12A840B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623E27-B44B-4764-BF51-41CD1C965D5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6710F2-7F39-4840-9B37-C88689BD819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29848C-7A7E-43D4-ACFA-16BBC22D58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E2EE55-7283-4219-AAF3-45A260B698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229</xdr:row>
      <xdr:rowOff>0</xdr:rowOff>
    </xdr:from>
    <xdr:ext cx="304800" cy="311150"/>
    <xdr:sp macro="" textlink="">
      <xdr:nvSpPr>
        <xdr:cNvPr id="8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67ABF3-F2BA-48DD-A93A-C37272EB4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F33824-F90B-4FC0-A374-5922FD37D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8B4F6D-24A0-4B27-ADF0-03EA5D1AFD2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6DBE3BD-6379-457D-8A99-90EB516A89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13EFB6-5DBA-473A-9DED-B45663D01E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0DB82A-EA65-480C-9F40-0E78D6117C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6F796-C30F-4B94-94FD-A1AC7E228CF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1D83E1-65BC-49F0-97BB-15EC4C12DD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227</xdr:row>
      <xdr:rowOff>0</xdr:rowOff>
    </xdr:from>
    <xdr:ext cx="304800" cy="311150"/>
    <xdr:sp macro="" textlink="">
      <xdr:nvSpPr>
        <xdr:cNvPr id="8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BBF79F-8ADF-4E42-BC4C-BD87EEF04E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227</xdr:row>
      <xdr:rowOff>0</xdr:rowOff>
    </xdr:from>
    <xdr:ext cx="304800" cy="311150"/>
    <xdr:sp macro="" textlink="">
      <xdr:nvSpPr>
        <xdr:cNvPr id="8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403493-1053-46FA-B5FE-A20728149B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82E27A-68AA-4983-AD25-102B44A851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B8B895-4E99-41DE-9C4D-33D72CA592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BE451A0-A211-4124-AF89-30F2F341D4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9F5C33-FE6C-40AD-BEAA-348FE21825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475D1C-DF24-49DD-B0CC-B8BF90B032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B89741-EBA6-4F9D-93CF-5FEB454F17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64FCB9-EE37-48D4-A8D6-0A079A554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B582B4-B8BB-45DA-BF37-443FDFED77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223</xdr:row>
      <xdr:rowOff>0</xdr:rowOff>
    </xdr:from>
    <xdr:ext cx="304800" cy="311150"/>
    <xdr:sp macro="" textlink="">
      <xdr:nvSpPr>
        <xdr:cNvPr id="8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1525EE-699A-482F-94A5-996B27F5854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10E2B2-AEC6-42D9-8AA8-5CC96C33CD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2B345A-1015-48F9-8546-B46E4A432D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60BBC24-7FF2-46F7-BD00-8F45EFBE870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E29F3-329A-4316-A2D6-F9F83B0177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32FE6-0F69-46F3-B8FC-9464345BF2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5B1B48-4AFA-4CEF-B2A3-9B15EBEFED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484CD6-339C-4B27-AEB4-CD25A0BF3C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221</xdr:row>
      <xdr:rowOff>0</xdr:rowOff>
    </xdr:from>
    <xdr:ext cx="304800" cy="311150"/>
    <xdr:sp macro="" textlink="">
      <xdr:nvSpPr>
        <xdr:cNvPr id="8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B25AC6-9E36-4921-80D1-12E6FF59E9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221</xdr:row>
      <xdr:rowOff>0</xdr:rowOff>
    </xdr:from>
    <xdr:ext cx="304800" cy="311150"/>
    <xdr:sp macro="" textlink="">
      <xdr:nvSpPr>
        <xdr:cNvPr id="8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8D5B1C-E793-47BF-8226-1599B12D54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F0A124-E745-414B-9FBF-CE184D23E4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313059-DF50-4BF7-B23A-E8780F597B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E68011-3489-4195-B2F6-F765C64FAA6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8B36EA-E8E8-41AD-9284-2E33E8C26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2ADED8-B4D1-48D7-B024-18AF0B9EDF9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8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DD85E6-9169-43F4-873D-3350DC9BC5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A7FB6CA-B57E-4BD4-B39F-D1D8B979D68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82E937-B5E2-4A19-B2D7-601A7A347E2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217</xdr:row>
      <xdr:rowOff>0</xdr:rowOff>
    </xdr:from>
    <xdr:ext cx="304800" cy="311150"/>
    <xdr:sp macro="" textlink="">
      <xdr:nvSpPr>
        <xdr:cNvPr id="9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D782F6-B0D7-4AF4-8AD7-6D855CF94F7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D3B3A90-3E79-4AF3-8835-EE6498A81C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1FF96E-B196-4EB7-8CA3-689779F6D17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8D80D2-79EB-4733-81FC-324470EF56A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7AF8D04-71E7-4B8C-89EB-0032224FD9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E0C716-AD4C-4983-8CAA-7413EAC6A6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FFBD1A-2F71-45A4-8C4D-454AD5B280C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E33967-C2EA-491B-969D-5F8D055776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215</xdr:row>
      <xdr:rowOff>0</xdr:rowOff>
    </xdr:from>
    <xdr:ext cx="304800" cy="311150"/>
    <xdr:sp macro="" textlink="">
      <xdr:nvSpPr>
        <xdr:cNvPr id="9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3779FF-1640-436E-870E-1292ED9D737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215</xdr:row>
      <xdr:rowOff>0</xdr:rowOff>
    </xdr:from>
    <xdr:ext cx="304800" cy="311150"/>
    <xdr:sp macro="" textlink="">
      <xdr:nvSpPr>
        <xdr:cNvPr id="9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7BEF7A-6D94-4F9D-8D6C-68741C98C9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15290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4F1635-192D-48CF-9828-EB508B0FBC4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2C96678-A24C-4123-960C-42DFEEB28EE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1A1560A-6B95-4FE9-9EE0-3B30BFCFC2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0FAEEA-F108-40AC-A405-6779DD44CAE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86E05-7C5D-4A85-8891-4523A494D48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2AFEE7B-5B1A-4A2F-9154-6D1B349A845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A8B44-6690-4C8C-A494-9AB3ED3553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95FD7F8-D956-4221-9BD9-1C75C53901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211</xdr:row>
      <xdr:rowOff>0</xdr:rowOff>
    </xdr:from>
    <xdr:ext cx="304800" cy="311150"/>
    <xdr:sp macro="" textlink="">
      <xdr:nvSpPr>
        <xdr:cNvPr id="9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C0C1F-FBCD-4014-9C99-AE086D9AD5D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40143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D282B7-1B9F-40FF-99B6-41501CC463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620F16-F129-47D1-803A-707C5767CD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2C023-6FB2-4CBA-AB98-5F17119CF4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E752D9-9AEB-4D66-8084-3529104FC3C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7FED18-8450-47CC-A606-F65C9C3F66F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CE4FCC8-2665-4DC4-9445-EB7E1D7CB0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0D5AD7-25CA-48DC-846A-8BF3D677FF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E24142-6F54-47F5-8A0A-A9D99365768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5AB7FF-00FD-4C69-97DD-FC8AD12CC2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66872-8814-4EAD-B68F-A011C61A0D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35CC3D-6861-49CE-92D4-8F494927FEB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EE7BDE-2BF1-4AC5-B806-BC54DB22E7F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AF6754-6EFF-4E22-B07A-7CA98EF76D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C6D8B9-286F-4F3E-A24F-F0A3B5ADB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F3474B-64CA-48E1-96F1-BF2BBD40B0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3D7A88-CC24-475D-8ACE-81FACC1B7A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93BD6B0-ADEF-4497-9146-B1B91F4FF4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AAED0B-EF17-423A-BF0F-1A0E1739688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9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E61FF9-6B8B-4DED-96C2-D1AC1EB1C0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4FCA9A7-E72E-4229-815C-13B3904E8D3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109BBD-96C7-41B1-B9A7-1C6E7EA1A8B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9131278-2971-4A8F-AC69-CCFE3B64176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3A5B6C-0D1B-4922-9D31-BA61FC17961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0747E7-BA6F-4702-90C3-34239E7651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1F1110-30A8-4AC8-AD29-EC9C73D1BD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DC8E17-71D3-44AD-AC7D-E312FA1AE21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B1B010-1807-4C35-9E25-C8DB71FF2A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941425-1AD7-420E-BB7A-A6E3F6FF93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F7DB15-66EE-4F3F-A9E7-9FBDA1582E5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3DAFA5-DFDC-4066-88AC-28B01DADA7F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9EB215E-5418-4BC3-88CB-0B1796C7EBD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6146A27-5335-44AC-B2F4-283C2F9805E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33D49E-8D37-4CF9-9993-C167A83598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8B62F3-F61D-496D-8B60-47E367EBED7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B1F7D8-9FBE-4332-A04B-37E07EB0A0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D3D730-8C9A-4A14-AAEA-9E2C180CAC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DCEAA28-9C16-459A-805E-86AA53163DC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399</xdr:row>
      <xdr:rowOff>0</xdr:rowOff>
    </xdr:from>
    <xdr:ext cx="304800" cy="311150"/>
    <xdr:sp macro="" textlink="">
      <xdr:nvSpPr>
        <xdr:cNvPr id="9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2BD250-B1BD-470F-8CAA-11CFADA3AE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72BD7D-BDA8-4C7A-A3E6-56FF9FC234A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9323BF-67DD-4CC8-9015-07B3BD4372F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8AA0DE-51B8-4FD9-B7FC-9A4E762600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460AED-0FF8-4922-A37A-494690130F1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D068ED6-07BF-4677-9119-99FFB6FD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F4512F-CBC8-44AB-BAED-BAFAAA25E1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09AF9B-22A9-4B20-BECF-FCBA5EBF1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F6A792-AE76-4F4A-A8E6-9F2076BF1C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7E8AB7-0B19-42E5-9EDE-9C40E34D681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CA6C4D-0604-4C47-9890-82D369F201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446939-CF8B-4ADA-A276-70FCB0F5E29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B5B2A7-6801-47C1-AA37-12938AED64F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99BC14D-5F8E-45B9-99C5-33B1AE0A3D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AFB8F3-9B76-456F-ABCB-4A126C66203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9D78ED-47F4-4D61-BD5C-EB9A070C04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6DE985-D75E-47F4-8B03-578A145B4F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F65B28-AF8A-4E17-A445-9AD1E0CB15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2681CD-0441-444A-832C-16E97E3699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375</xdr:row>
      <xdr:rowOff>0</xdr:rowOff>
    </xdr:from>
    <xdr:ext cx="304800" cy="311150"/>
    <xdr:sp macro="" textlink="">
      <xdr:nvSpPr>
        <xdr:cNvPr id="9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DA3DED-FF6E-4783-93AE-5D8ADF8279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6534818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96DBC2-8AF6-454F-A038-A043FC6467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424FCA-99CE-47E2-9E97-5BC96A0072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D606B3-D71B-4E91-9209-D49E6C1390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CF08D1-0D23-4493-8EA6-812E1128F5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1913E8-F419-434B-8225-1056F9EA62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774C24-F780-46DB-9E42-0103DDA95D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99DEFE-78B5-482B-9DA9-F4E6495F17C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597F8D-214C-420C-B2AE-E8FDE3AD07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DA374F4-60E6-4ABE-858A-46369DF910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0B1F7-DAB9-4B3A-BD6D-CEBFE95107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D6A02F-C548-4394-80F0-497AC3A01D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CF4A48-CB8F-4C17-9F80-C8DE6D2BD72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1D8B42-8B01-45A8-AE06-42E2C25640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C3CFE-ECFA-4AE3-9EAE-12CD4C98163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C2C96B-A63C-4024-BC44-A5E7CBC184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DC2B96-153D-47FA-A3E7-823FCDEB6D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C75D33-FD7A-4985-8130-EAE01CF443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9EA151-A2F6-4535-B6C0-7F09F17D49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383</xdr:row>
      <xdr:rowOff>0</xdr:rowOff>
    </xdr:from>
    <xdr:ext cx="304800" cy="311150"/>
    <xdr:sp macro="" textlink="">
      <xdr:nvSpPr>
        <xdr:cNvPr id="9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70CF4F-8C50-4A40-AE56-81D3142BC4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79305727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E80851-A47E-4BBF-871B-46C7453759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69EF28-4F0A-4CB2-ACB2-6DB368008D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9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30033FA-B700-4B84-AEB6-0E898895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C47A18-EB4F-44DB-B0B8-D5C060C022F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CFC1A9-229C-4753-9FD7-998E24960A1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5F80C57-9226-4BAE-ADE7-4DCBA41A6F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190985E-B973-4747-94E6-EFBB009F62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F85C96-D55B-492E-8F8C-32514BC83B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EC5A1-2A00-4DE4-B279-78BAEBCE388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7A770-53F4-49F1-B08B-F9E0EAF2B68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310109-3BF8-4E70-8FCE-EA6F6027F1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9D9C38-7C9A-4D7A-AA29-CE9C4298CF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5CCAA-2374-447F-944E-DA66FBBA2EC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827305-9DB5-482A-93EF-02AFAC81D1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76017EA-6118-49F0-A4A7-BB400EDE17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D9B4EF9-BD51-405B-BBF7-48064F04C9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F9B2F50-6784-495A-8962-657CEBA9A9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0D046A-DC4A-4EEE-8BA9-CB6DA61096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407</xdr:row>
      <xdr:rowOff>0</xdr:rowOff>
    </xdr:from>
    <xdr:ext cx="304800" cy="311150"/>
    <xdr:sp macro="" textlink="">
      <xdr:nvSpPr>
        <xdr:cNvPr id="10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C6C60A-7A84-45AB-B907-F096572D71D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C17DA66-1EAD-4304-A7BB-F523971A16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AB2B07-7AA6-4620-B29A-440957014F6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E23222-C6A2-4989-9E6D-D9FEB42150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110AA3-BD2A-48DE-9372-F954B539CAB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DC5D1D-C0DB-4F7A-B8A3-E7B9C44393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5A49BAD-4904-427D-BFD4-3B7339C5C88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255C55-01CA-4819-9059-743618FDB2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8BC4C12-F78D-4836-8435-E67D9820BB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BE7B251-BC8E-44A0-996F-7837DF8B7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082C56-7C42-4954-BB3D-8A9957627A4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53E2B-CA9E-4B5C-8E50-51D46D6D6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635CAB-D3F6-43D7-9BBF-1225A3AE90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B0038-8491-4F4A-8DA1-028DCB01BD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805E7E4-64A8-4080-BCF6-9826EFCBA8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0AAF2-C60C-4A3F-B06E-3744DBEDA71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7415E58-663F-4ECB-B44B-CE045F88464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EC9FE8-596B-4F9A-8786-B0599F6DC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1A2AAF-5498-45EA-B745-DCDB7A59C9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413</xdr:row>
      <xdr:rowOff>0</xdr:rowOff>
    </xdr:from>
    <xdr:ext cx="304800" cy="311150"/>
    <xdr:sp macro="" textlink="">
      <xdr:nvSpPr>
        <xdr:cNvPr id="10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157838-C7FE-43BD-96F5-6D6D1C4B382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26143E-1DFA-45B5-834B-64BFA60A9F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1F885D-698C-4695-A32F-0C042F32B06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D40098-8312-4A27-9AFE-1168D4CE3E7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AA2E68-9FA9-4A0E-8836-4FD8CFC208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923B30E-D3CB-495B-8F85-250F3F1DDA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B7875F-9E6C-4C69-9148-351F32C1BE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B7AF1D-8336-48C8-8284-09B838EF8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BB9989A-B276-4065-92C9-D3A03D88F31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BCBCD34-0F25-4B6D-9A8F-C23B6150167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02BD012-C09A-4408-8875-40F23CF8E9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11E828-4855-4B8E-A45A-E8746A0F76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CE368B2-36DB-46FC-8DDA-75530C4FA5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68B0445-CE69-4A7F-BD35-1A644DEF1B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E516DF7-6BE4-47DC-AE14-EE73A40C0A2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5A9CDCC-AD44-4825-AD00-656FA26F09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213C9B-2226-4762-B331-984C4511CEF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16074DB-B055-41E2-A1F7-DD4DC0E8012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A1139-AC4E-4BE7-806D-15CFE14E8B6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419</xdr:row>
      <xdr:rowOff>0</xdr:rowOff>
    </xdr:from>
    <xdr:ext cx="304800" cy="311150"/>
    <xdr:sp macro="" textlink="">
      <xdr:nvSpPr>
        <xdr:cNvPr id="10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10F13-4854-4063-ABB7-C22F852DCD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246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0961A4-14D9-4C0E-9E88-138A65DAA2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CEF0E9-0BE6-42DA-BB4A-6C5F990E421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F7CF4BA-36CC-4590-AA3B-9AB00EEA277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E01E18-2C68-4E87-952B-44135485C9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5E4683C-7B7D-4929-8877-4C21022CDE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F8AE0B-47DA-4725-9C07-54D8263548E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A39753F-1494-4F70-8B34-C46D7A1AD0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DBE785C-BF98-466D-9C36-9C360BCC069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EA9CBA-AD32-43DD-B217-67A840472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DC59AA-3DF8-4BAF-A033-3005C36ADD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7448-A700-40CE-9FA5-8661016A9E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808FAC1-CECC-4A7F-BACC-ABBF54DA00F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0D074B6-69E1-42AE-B358-83622DEF685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1FB917-0B97-4813-9B69-F6FBD7E10E6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70F0EDF-6C06-495C-9C21-EE31E509361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DB7E5F-55EF-43FB-80BF-A080530DB2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E72B03-AB57-4CDF-8331-6DD60C5472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20</xdr:row>
      <xdr:rowOff>0</xdr:rowOff>
    </xdr:from>
    <xdr:ext cx="304800" cy="311150"/>
    <xdr:sp macro="" textlink="">
      <xdr:nvSpPr>
        <xdr:cNvPr id="10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02C8F8-E2E3-4E7E-973E-2C9F3FE90A9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2076636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23092</xdr:colOff>
      <xdr:row>47</xdr:row>
      <xdr:rowOff>230910</xdr:rowOff>
    </xdr:from>
    <xdr:ext cx="304800" cy="311150"/>
    <xdr:sp macro="" textlink="">
      <xdr:nvSpPr>
        <xdr:cNvPr id="10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6AED4-3C75-49B0-BD2A-940F1D109ACB}"/>
            </a:ext>
          </a:extLst>
        </xdr:cNvPr>
        <xdr:cNvSpPr>
          <a:spLocks noChangeAspect="1" noChangeArrowheads="1"/>
        </xdr:cNvSpPr>
      </xdr:nvSpPr>
      <xdr:spPr bwMode="auto">
        <a:xfrm>
          <a:off x="16671637" y="3544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5B8AD5-AEFF-45FC-949E-DDA3704C703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B8C7B7-89B8-4B19-A839-A6167E1C547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2C97BE7-589F-42A5-8D31-75E0054265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FF8177A-3AA1-47E3-B75C-3AD2F53C120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06F6EF-D1C1-45EF-8610-A5F20644440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1C0918-EDDD-4C41-8882-1A15F0D4C5A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1E7F39-CBBB-4A0A-96A6-3F42F8CF9F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BE385E-F694-4A59-97A6-1BA7F57E1B1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2A408F9-7F86-4663-BF07-BC518BC67BC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E51CAA-DE41-4DDE-B185-49201F5344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CA4B18-DA69-4A22-9F8B-2BB8E5884F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F27604F-3311-44DD-A483-1FE44DB1AC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F482EAC-8C05-4D37-8243-3E45C116B19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E3E1D10-5246-45DD-856B-0BB7205B355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3BF7FA0-6507-4EEC-96DD-AAF5A6B744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FCAAA76-9505-4C9F-8625-A84AA902CF6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94FE60E-69DA-46DF-947C-4BDCA204613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F48B17-7A1C-472A-8967-A5E5A2458E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36</xdr:row>
      <xdr:rowOff>0</xdr:rowOff>
    </xdr:from>
    <xdr:ext cx="304800" cy="311150"/>
    <xdr:sp macro="" textlink="">
      <xdr:nvSpPr>
        <xdr:cNvPr id="10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BA2007-AEE5-4D24-8127-2BFE641F9D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484754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F45408-8F9E-4AA5-90FC-D3D016AF90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67731-120B-4AFD-86D9-9574026797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3B72F20-658C-4271-B113-E9AE349751F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6FB5FF-E038-46E2-B231-0B0F0AFE25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1932C8-C8F8-495C-82D5-9059B5AEDD0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7DF621D-3F4F-41AC-A0C0-C7CFC5B2F43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924008-8C55-4ED1-A401-5F86168F313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0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ED1B95-F6B8-48DB-B9B8-84A349366B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782A64-44CE-4213-BB2E-47AB72503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990908-C4DF-4085-A255-985D0BAE73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FB8EAF-B2B3-41DB-AB73-B7DFA8F0C75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D9B597C-1B47-44A1-A423-A209A22BDF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549555-5EEF-4075-B268-8D1F6221AE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512D56-2499-4D0A-A0A0-F3159C9BB9E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8B554D2-0A23-4614-B6D1-D25B3EEE6B7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1A0126E-C71B-46A4-B80B-C1C314F4D7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AB64BC-E61C-4B65-B1C2-E71A7A9ED1E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BDD721-8CDE-41D9-8B9A-3C750D28F35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52</xdr:row>
      <xdr:rowOff>0</xdr:rowOff>
    </xdr:from>
    <xdr:ext cx="304800" cy="311150"/>
    <xdr:sp macro="" textlink="">
      <xdr:nvSpPr>
        <xdr:cNvPr id="11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2F69D16-D80D-4077-80F3-91BDD769304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2566AC-515B-483D-B774-BF33F6ABF70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D7BF717-B0C8-4450-90D5-5C113CFE42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0D7B14-BBCF-46DC-93D8-BD7D78DAEF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843BD8A-A7DE-490A-B48B-A0A23A69D9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B35A65-D5B7-4A7A-9B1B-0F369351369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F3AD9E-367C-49E7-8D1C-64758A8C89D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E793A1-9005-41EC-8251-8A42F89B1B3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3D52FD-E7DB-46AD-91E4-0440B0F622E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C8AE11-416F-4BDA-B60A-A48241191EA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4C9165-5E6E-4C65-B7B0-8FD68CA670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3858A2-F139-4D6A-95B8-BF495452FA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69B9DBD-4A22-41EA-AD5C-E8CE80D5F7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EFC01D-B15E-4B53-B305-2B0FC0801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17C9E-3288-46D0-AA14-B16296DE6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4647055-6BFD-47A3-A744-44A1AE41AD9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15C018-00C9-4EAF-B8F8-DC6BFBA28AD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42AFA-8C75-46A8-9E9C-6DBC6CE8680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8BD328D-1E94-4185-8F0F-B07BD4DA8F9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66</xdr:row>
      <xdr:rowOff>0</xdr:rowOff>
    </xdr:from>
    <xdr:ext cx="304800" cy="311150"/>
    <xdr:sp macro="" textlink="">
      <xdr:nvSpPr>
        <xdr:cNvPr id="11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30F288-0DDC-49CE-90F4-89D2C374380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7B5405-2384-49EF-96E1-AD6175350B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E1628F-E698-44F0-BBD6-B0596B2C312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6EF41AB-9D1D-4830-B0A6-C34B8D69EBC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CDFB759-F6E0-4636-B0AE-00DA760B33A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6A5CB1-03F7-49A8-9213-3546EE977DE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B9FE7B-E01B-4E12-A192-F676F8D8D89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3DC2ED4-48D1-44F9-8C85-3FE9C15585A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EBC5504-45D0-4CAC-B00E-3B65AF7BD95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5C6D46-FD84-4EC9-9FDD-00373510B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DFD13E-0AA7-41BA-A175-C0A458C6A19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25818D0-2CFB-483F-A1E4-2C7EBEFD42F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355E11-0D5F-45B5-98DF-CD4F2F708DD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AA39E6E-ACC6-49DB-97D8-4FB3E7800C3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59B1576-34CC-4685-BA40-D383BFE9178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7E747B-9134-470B-B0F4-5CA3DC3427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DE89D2-8963-48FA-997D-8D2607F7F88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EA8C4EF-03B7-4FF8-B6D8-84E340201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EBC583-87A3-4F8D-B787-83B980880A0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80</xdr:row>
      <xdr:rowOff>0</xdr:rowOff>
    </xdr:from>
    <xdr:ext cx="304800" cy="311150"/>
    <xdr:sp macro="" textlink="">
      <xdr:nvSpPr>
        <xdr:cNvPr id="11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BFB4A0-EC57-436E-B3A5-13EC7DC236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4F190B-12F9-418F-A3CC-F2421FB4C7E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97EAB55-AC74-4432-A489-C8E3F880C5B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B9B867F-C30D-4789-B366-E9E1501E15D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6DFDC2-9DBD-4DF9-9849-6E4EF499CC8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C59A36-BD79-4D94-878E-ABEE541A546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F38A2C6-573B-4C55-9D50-6BAAA472CF6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645C035-728C-4DDC-B8C6-719D5EA6C1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91C2B0-EC80-447D-A053-5A9443C35C5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C29C487-7D6C-40DD-A369-F497C502B8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07DF92F-7C93-4B3B-96E4-3DE56E6DB51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FBCE2A-EDC1-4227-AA39-E0A537640B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B435875-1A50-4F8F-8465-AF58453785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B4A31F-CDEA-459E-9085-ADE268232C6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7CDEF9B-9341-45FC-B9B8-5F96CE3B4B3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AF6DD9B-1D93-4F22-9FC6-A785618CEA9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83747F-814B-49BE-8780-7F79EE57E9A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3097BE4-1415-421F-9EC1-7646BE2AAE1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83B9E1-56BB-404F-8964-191E83817DE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391</xdr:row>
      <xdr:rowOff>0</xdr:rowOff>
    </xdr:from>
    <xdr:ext cx="304800" cy="311150"/>
    <xdr:sp macro="" textlink="">
      <xdr:nvSpPr>
        <xdr:cNvPr id="11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AF2CD29-A6B1-458D-94C2-6F684F9BB02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2D24C88-50E0-4B61-BE60-32F0F92485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3985C0F-021A-4516-ADF7-0743CC503F2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657834-66B2-40BF-B4CC-4C08CCE1EC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19FB91F-3720-4FFF-8337-CA1ACE9899B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759ECE-1EE5-431A-8CAD-C0BFAA9D746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1D05EF7-01F0-458A-AEF3-EDEC466690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1ED5B6C-721D-4A84-9376-49F6DB9BB40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437FEA8-23C9-4B00-A56E-9CE71875ED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4EFC325-3321-48F0-8062-2914A2591A4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82BC471-39BD-480A-8C03-817ED0D1E44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EA42D5E-F7E6-4B07-B482-498F13E0238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0E9AFE0-6B24-4ADD-8F9D-2E145A009C3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BB8D651-C253-4ABA-A351-CD49BFD7F8B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966E8DE-9642-4FC6-A19A-556BC242284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0E22D5-2284-4320-867D-13AC3500D4C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A616A69-086D-4AD0-99C6-741C11918CB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D5F4B89-776F-4AD2-903D-5EC52C4095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08470A4-3545-49B1-B874-52AB7D92DD7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94</xdr:row>
      <xdr:rowOff>0</xdr:rowOff>
    </xdr:from>
    <xdr:ext cx="304800" cy="311150"/>
    <xdr:sp macro="" textlink="">
      <xdr:nvSpPr>
        <xdr:cNvPr id="11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B57A029-A7E1-4742-8B64-48658B49B05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87618455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392214D-21AC-45D1-9443-EE06EEA2D4F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932AFFA-3BE8-48F4-B879-4A2379C27CF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730276-4677-48F0-8286-FF161750D20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1A55235-D768-4D37-8445-7556CF1435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537CE9E-CD1D-4C6F-A62F-B481510D50E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08A4A0-E715-468C-B6E1-6D5C3E0707F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806A3FA-DDC5-4EF4-87C7-8674027D72C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CF468A7-32F5-4C90-90A6-A858F2DDB0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98BC8C-C848-4A73-9D10-8E63A28B5D3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2FC3B3-8DBC-4011-B0CC-FC461C05E5D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AE7D5A-BD14-43E8-B841-685D81A1C62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2C4AA1-8324-4F0D-B3BE-5E8928C263B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1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4A6EF9-7055-4853-AF34-110F53DF848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460B5B3-68EA-4EB8-A370-04BD2290AD4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0E5F8B-DB18-433A-8275-6C60350EF9D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B9684A-D4C8-41D8-8109-048D7B7D2053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0CFAEF-6012-4DDF-9157-A5F3A0ECED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CE1E0C7-4BC0-4680-9E06-07D4FFD064B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108</xdr:row>
      <xdr:rowOff>0</xdr:rowOff>
    </xdr:from>
    <xdr:ext cx="304800" cy="311150"/>
    <xdr:sp macro="" textlink="">
      <xdr:nvSpPr>
        <xdr:cNvPr id="12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4E716D4-9716-4AE9-A465-CE5EFEF973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0389364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F89FB77-3713-40E0-9421-529C9D289D91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2412D8-37F1-4C2A-8079-C4A36033453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0044435-E1DD-4180-BD29-58B945EA23B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EF0CFA4-7289-4028-BD16-1730FCF8F8F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D2A956-93B5-4E96-85F4-1F03ED6BED3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953149E-DC3D-4490-9A10-0EE7EB53F05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B528814-3D9A-451B-B9C9-8A352AB1279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A934533-BD36-45DA-815F-AFDED846E8B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03FD2E-59A3-4CD6-BBC7-FC436F06C7A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B5BABF-F804-41C6-80A6-AD145E7735E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A7D669C-1B8C-427F-A688-FBA5E270D03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08E4A3-CD84-4D63-B936-A4384059B1EE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E9476C9-4379-4017-A035-DFF2B928008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08F2717-2FB6-4024-BF96-66DAFA383AC5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789E241-0426-40A5-B9D3-5C3A695F0A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595EEE1-A4EC-4AE8-A3F3-ED48190CE1A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2259B05-722F-455C-8CB2-871D6A824C7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A849F43-1D0E-4A14-9324-0042D053C8C0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124</xdr:row>
      <xdr:rowOff>0</xdr:rowOff>
    </xdr:from>
    <xdr:ext cx="304800" cy="311150"/>
    <xdr:sp macro="" textlink="">
      <xdr:nvSpPr>
        <xdr:cNvPr id="12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F7CD965-8DB6-4FF7-826D-8CCFCC0F254B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3160273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4349C40-6A15-448A-ABE3-CD5CC4452BE8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C161795-AEB3-4D52-8513-FD2CA7F7000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CF5DBC1-2804-4FF9-9A4D-D2EEE7D00D6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F29303-14EA-49BE-9FE4-C729B807A5D2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4192185-DCAE-4D8E-B41C-B9E7D3410B2F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378311D-4412-4DBB-8691-9F3A23C1C057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41E586C-BE15-4320-BE34-5070B8E11C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E12165-D45C-4B6D-A3E9-3B6029F8C18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EC364A4-5997-4E33-B323-15004107FADD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34B0F2C-1FAC-4B3C-8716-8D7CDF373FD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24DD99C-A843-4E5D-8630-8A5F476FC0C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37ED0D-1FED-4ACA-B9CB-93982BBA309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E9DD3A0-8378-46EC-8602-351032D91E66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C060A23-468C-4D99-A02C-6275468FD6A9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3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463713-31C3-41A8-AD35-870462F33D1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24F8E1-8B0E-4E2A-B5DF-FFEDC03408C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E13739-D72C-4E0A-BC33-B502499AD544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8FBCDA9-02B9-4414-AE3B-77841E1AC3AA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140</xdr:row>
      <xdr:rowOff>0</xdr:rowOff>
    </xdr:from>
    <xdr:ext cx="304800" cy="311150"/>
    <xdr:sp macro="" textlink="">
      <xdr:nvSpPr>
        <xdr:cNvPr id="124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A6D723D-F404-40BF-A348-976F52A3E56C}"/>
            </a:ext>
          </a:extLst>
        </xdr:cNvPr>
        <xdr:cNvSpPr>
          <a:spLocks noChangeAspect="1" noChangeArrowheads="1"/>
        </xdr:cNvSpPr>
      </xdr:nvSpPr>
      <xdr:spPr bwMode="auto">
        <a:xfrm>
          <a:off x="18230273" y="95931182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725EC-048D-4F8A-BDB4-9D1D5F90A85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BBAE6E6-64FF-49E1-B434-84525C8169B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DA42E3-ABDE-4774-B360-747345007C5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5C5CF0-866E-45F7-8B18-BE4BDB1E6DD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CCA3FF2-A806-460D-8EED-C75FF20F219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4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E99FA07-E9D0-42C7-8D6A-EF9EE561AA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DE529F-EE23-4DBD-A4EB-A6041526B147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B7A692C-84C2-4653-8F00-9185E89D594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2C5DBD9-4E80-428D-B3F8-FF72A085D36B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9A485B-6384-444D-A365-59CC6DA188B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0FBDB84-4D85-41E8-A29B-3F3A9D876A5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22A7E99-F08D-4B5C-B3B3-20D92E3D03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8759099-CFA3-4678-B7A9-9A2F33A479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E1D157C-D192-4EAA-93B8-15AA1DE703A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5A5F4D0-56BE-41EC-97D7-97960D6CBD0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5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80F9913-2BB6-470C-B037-69EFB0A96CA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7F049EA-887F-4D32-A32A-97D267DE141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42C5943-76DB-499A-BEBB-047A79372F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320</xdr:row>
      <xdr:rowOff>0</xdr:rowOff>
    </xdr:from>
    <xdr:ext cx="304800" cy="311150"/>
    <xdr:sp macro="" textlink="">
      <xdr:nvSpPr>
        <xdr:cNvPr id="126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8FA8269-7C1C-45B9-9DB0-E75F75841D6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105281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A0773C3-CB59-463C-9308-99D58099CF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225DA75-041B-4344-9D97-DD40CC6DFA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C095FD-F737-4003-AB9E-8266F1FFA3C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0ECC572-4764-43D0-A0D3-4647F3CE3ED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91CA8A9-F581-4C99-AC2B-8006883852B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1015914-1CD2-421C-9D14-BD4A632E81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6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18F89-C1E3-427C-9277-0C866C7F82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E782D-9D5C-4634-810C-4FFF45F7FE6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C5AEA5F7-012E-4784-A95F-5E093DC3C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70202C4-9E86-4898-9947-2D41848F05D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A2AE7CB-B786-410E-BC23-850DA4D79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5E4EEC4-AB6A-48CE-B5F8-DFF0548C30A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6119FA2-7E38-4E0F-8E38-2193E9CA35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9CD51AB-4722-4C1A-BF83-ADDC9FE52C9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B904244-B3A2-4E6F-92ED-64F1208044B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A70C40-AE63-4219-9575-583ACF78AD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7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289383F-3701-4B64-9833-93F393FC9D4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7A02ED7-9B19-4A8A-A0A4-D9C156968AC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FA428D5-1359-4F4A-9F3D-DE364D99BB6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F1EDAD-9E89-4A97-A04E-DB710D3100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6D39596-68C2-447D-99DA-7B11D48F974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0DFAD67-0012-4D5E-BDD0-77D2D481AC9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450F44E-45A7-4027-8D28-E5D82B6F82C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11719D7-ABE0-4B25-8B13-947D1C45B8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580B3AE-3C75-4490-9C30-6B218DC89B0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8F37E7-9713-489D-94BA-4527F530F38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8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CF3459D-535A-4526-86D6-C037D69BC82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AAF667-BCB6-4C31-A661-CA87C9F97B2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899AEA2-6E29-4C1F-9A3D-063ACA33B7B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0604B1D-845B-4EA5-B540-1F344934E5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7A3196-21D8-4B08-9E2B-4398BA5E0D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DE7C3DC-FE98-44ED-B112-DBF205DC43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A1DD34-8631-486C-8E7C-C909D913FE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D33949D-A0CE-4EBF-AB8D-E552F60A2956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61A65A9-E137-4ECE-ADDA-2DBBE752E10D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BF5FE07-7888-4A5D-93C6-3104BD8ED9A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29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FF06D2B-C409-4E28-B1AA-F6F28115EF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347</xdr:row>
      <xdr:rowOff>0</xdr:rowOff>
    </xdr:from>
    <xdr:ext cx="304800" cy="311150"/>
    <xdr:sp macro="" textlink="">
      <xdr:nvSpPr>
        <xdr:cNvPr id="130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2555BDF-EFCF-4B77-8E6E-0B45BD97884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4669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18552ED-BCC4-47B2-A962-AD02BEF68C6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3C3F7C6-A945-4F4D-B0E6-96A808CD509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2DF1DB5-40A5-4145-A2D1-652CDECA0FA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36D2643-E3B2-44C2-9FBC-E4DE417C42E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30BE452-65B1-46C9-A556-DD07BAEF5404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B5F84784-12C9-4DCC-B80E-AE5B3A08303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0D2A017-08E9-44A3-8F50-B096DB4B762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F1CFD1E-5464-43EE-B248-760775224DD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0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00FE026-ED66-48B1-B54A-EA809B7690B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5B7B5E3-2841-4404-90A4-8A5AAB7314C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5364C82-1027-42A1-9C0A-12784E24CB3A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C36C528-5C1D-49EC-849F-15C62200441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53B82E5-218A-4760-90E7-C906BD30BB05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81CA81E-7A7A-487B-9710-6B54BDCEA9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F98A6A2-AF6E-4175-BB94-C96AC8BF32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5A1E2E9-4967-43BC-AF79-68199F4C564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A6321E9F-0287-41BC-B77E-5E2061FD1FF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BE109CE-810A-4EF8-B1C8-C2173630DE02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329</xdr:row>
      <xdr:rowOff>0</xdr:rowOff>
    </xdr:from>
    <xdr:ext cx="304800" cy="311150"/>
    <xdr:sp macro="" textlink="">
      <xdr:nvSpPr>
        <xdr:cNvPr id="131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89229C6-574F-44DF-9F86-2812F1BE813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07237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4E9B0230-6E77-4632-AB0D-B147728D903C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94FA0F6-9E77-4BF1-90F2-ED45EA03956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D10393B4-D2C5-42C8-806E-02C136D5C43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17485FCF-44F1-4E4C-830E-EAB2F8E32EB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F7E39CF3-411C-4C77-AC2E-C702DC3BB18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2091BF82-2B52-4C48-B807-2C10222F4AD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09E8950-D468-4E08-A32A-E3A5FB383E1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7C66265C-EA68-458C-86F5-5B1EA67C9D0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441D33F-BE0F-4C82-B346-B2BD8A7E75E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29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33441D3-DCEC-4314-BD3E-F74F2353779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0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6D9E44C9-6E01-48D8-A9EA-B6C16A0AC90E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1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381ADB1-C654-407E-BCF9-BFA67C9EDBC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2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15C30D9-F341-47FE-89E8-A0629B89CD8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3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8FA4F24E-5A7F-493A-BB60-4752E9388B49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4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E9B572E0-67A9-4F63-BB72-D4171D74F851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5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91A10AD7-F525-40F1-96ED-EA6094058A78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6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50C0600B-3C3C-4BC1-B7BC-D3B2092B1E80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7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367113B8-5AD4-4187-A8CB-5C78A7C60A73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12</xdr:col>
      <xdr:colOff>0</xdr:colOff>
      <xdr:row>338</xdr:row>
      <xdr:rowOff>0</xdr:rowOff>
    </xdr:from>
    <xdr:ext cx="304800" cy="311150"/>
    <xdr:sp macro="" textlink="">
      <xdr:nvSpPr>
        <xdr:cNvPr id="1338" name="AutoShape 4" descr="data:image/png;base64,iVBORw0KGgoAAAANSUhEUgAAANIAAADwCAMAAABCI8pNAAAAhFBMVEX///8AAAD6+vpsbGzl5eX39/fb29vAwMBjY2Po6OhfX1/R0dHv7+/y8vJbW1vW1tasrKy6uro6OjqLi4uUlJR2dnYpKSlpaWmioqKzs7MfHx9ERERWVlavr68/Pz/f399OTk4SEhKBgYEzMzMVFRUsLCyOjo6kpKR9fX1zc3OZmZnHx8eVACmwAAAGvElEQVR4nN2de3faPAzGIwqFrtAL0K6FDkgLa7d9/+/3kpRLLpKSYL9Hfvz7uztHz6TItiSbJImM0b21BZ5ZU2yKXmJT1HuPTVGf6NbaBr/MtzS0tsEr4xnRu7URXhkT0R9rI7wyi03R+H2v6MraCp8M072in9ZW+GS+F0Qjays8MnmKTdF4S5FF3WcmKKbMMLnKFUWUvfvPsSl6yAXRxtoObwy+PyOia2tLfNH7iE3RwzY6RQdBtLa2xBer2BRdT4+K+tameOLxKIhurE3xxCw6RaegoydrU/wwPCUG+rK2xQ9Dik3R01lRJOWtTWyKhrvoFFGBibU1PvgsKopi0/BWVBTFEruJTdFtURCNrc3xQFlRDB2kl5KiGNL3XXSKfpQUzazNced2WVL029oed8qJgcjaHncqilL8BekxOkWjsqIFvqJyqiP6a22QM28VRXNrg1y5jk9RRRB9WFvkyn1V0Rb9FBufouqWgWhgbZIjdUUv1iY5MoxO0VVN0ae1SY7UFT1bm+TIz7oi8NQwqilCL3BVN6p7HqxtcuMuOkVM1P2wtsmNemagac/aKCcYRSm2ovp6RPTL2ignOEWv1kY5wSlaWhvlBKdoam2UE0xmAK+rsoqgm0jMCguuiNkFEa2srXLhhVMEnexqtaCcf9ZmOcArQv6Q6rWgDORbO7wi5DWWV4T8Id3wipA3q+wSC/0hMaWTPam1WQ6wmwZCfgVgxisCLggJyQ64ICQoAj4j8dsg6IHVJa8I+NrlhlcE/CEJioCvi30KinC7l/VO7Dd31oZdzFpQlOJmO+lDwt0ICekbeGT1jxR2sPM0j4Ii3DerREW4o3ZTQdECNux2giLcsPslKYKdwhUVwU549iRFsGW7wbOkCPami1A92Ycd6mgD20TCDjtREeqVsclCUgTbv5yLTkLtjUlFO9ywG28lRbBhV73hgh92cv5GfSfkRsx2sKPFoiB6tDbtQsSNEO2sTbuQB1ER6rlvLCtC7VKwg3Y5qF1m8SALO9zQlxWhvhsrhx1qB1MJO9A34JSwQ22cK2EHuhN6jS43aGEHmhv4wbQc0Hqx2HYhWljbdhnK3g51lutLVgT6gr402pABOoKykhWBzgkpYbfDLOprYQeaG6QmM8HeoFd2QiEc/HrdA0VuYIaRG+66/7/KlcggfhYg29aMuuWof4qiACbuemlmyKqLponYZaYgDn6H3fSyw6icXFwNYtDznLpaf1DadjUAJw0KH3rbirzmpADGIku1g3aatNzw9j+b24JKyarVDMkHrybHPoHXUtem+d9oYRdAAq+/VtB4j3KcBu0kbqPWNGT2riiyr3PxDVY9R2i5IYCzrFApVdcnaaY9w36VFduRiiZ5BIVoa36WvUlF4+T1MmwnKQV6cQ8rTz4RLczPstqxlKa8edrBz95Jws3xI/wjiZqT7LdC3JNARbh8XHsKt4j5flUNuwyuyqPlBnMnaX2hA/VGq5bA7Z0kXTAqUnsPTbpnFYSTlL7Qmeqjo1p51dxJLcIuo9LH0/7U3ElN2e5IqSWuJXBzJ6kRVKR4VlBXWWsnqfWdMoX9a9BO4h8z4Tn9I/nuAdk7qXXYZZzcpDrJeMJB/e+uc8gQk1T5G2snaZsahsMgp+ok4xqKWjrgyINKvnxA9oeKroq+M4S2FbJOd0qDVeK1Yb9qXOjqlO2O9JUbImTeqbhEEX2pJz/r58bur+cdM96ehdbys053OWs1IXfF2kkHJh5FheCknIFSw+tESC84qHm5PUHNr0pPiHUigA5Zie65r0YwX9IRdQVFdFLirik4JyXdDrgQTkocNYXopEQdx8d0UmNPRsO6LCRy8ZobqpOSlvVxhkC/pJzL9nsBOym58GAYspMa+pUS1kY3oFwxlwhgFFyn++pkbXEjLXtoZwAuVXQNPWt729At9ACctA+9NDYnyU8Wwzop6RR65iNdLWm/4OLcxmxdsAyq0qUy0PpikE5qHXr2Y8YdaFXZC6Sw35KBdh3uCM6XlPO3WdEHSgY/0MJNKMvsicb5UMCr2k0ZAs5JjTUwyKfh9Axhf5vnElRJUMvsCc1NmE5SB4YwnaRlCFQnKYkcbC9UQHSTtWEOCBki+AqrgjATbm2WE+yZnb+lBQM3PgD6gt8RJkOAPhx5pp7Ix9YmubJOK4pQXwUvUM0QqG9oF6i8gQD7IzZFfsfmpKQ8Jg/7Iwhliok8guSQU0jk8Bn8wCQ6JxXessE9KFWZ7KJKDjmHC1yov5DCkt8gWVpb4ZX8MIj6W0MCWYYAPyjVWMXmpCxDxOakJAm7/fIf405HMQWkVWUAAAAASUVORK5CYII=">
          <a:extLst>
            <a:ext uri="{FF2B5EF4-FFF2-40B4-BE49-F238E27FC236}">
              <a16:creationId xmlns:a16="http://schemas.microsoft.com/office/drawing/2014/main" id="{0E6529BF-FADF-4AA9-8B30-05D3D00B113F}"/>
            </a:ext>
          </a:extLst>
        </xdr:cNvPr>
        <xdr:cNvSpPr>
          <a:spLocks noChangeAspect="1" noChangeArrowheads="1"/>
        </xdr:cNvSpPr>
      </xdr:nvSpPr>
      <xdr:spPr bwMode="auto">
        <a:xfrm>
          <a:off x="18224500" y="103809800"/>
          <a:ext cx="304800" cy="311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L&amp;T">
      <a:dk1>
        <a:sysClr val="windowText" lastClr="000000"/>
      </a:dk1>
      <a:lt1>
        <a:sysClr val="window" lastClr="FFFFFF"/>
      </a:lt1>
      <a:dk2>
        <a:srgbClr val="1188C6"/>
      </a:dk2>
      <a:lt2>
        <a:srgbClr val="E7E6E6"/>
      </a:lt2>
      <a:accent1>
        <a:srgbClr val="003F72"/>
      </a:accent1>
      <a:accent2>
        <a:srgbClr val="FBD520"/>
      </a:accent2>
      <a:accent3>
        <a:srgbClr val="BBBCBD"/>
      </a:accent3>
      <a:accent4>
        <a:srgbClr val="5D89CA"/>
      </a:accent4>
      <a:accent5>
        <a:srgbClr val="F0F2F6"/>
      </a:accent5>
      <a:accent6>
        <a:srgbClr val="E55C4C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780D8-2818-4808-A703-16070A76E56F}">
  <sheetPr>
    <pageSetUpPr fitToPage="1"/>
  </sheetPr>
  <dimension ref="A1:AI51"/>
  <sheetViews>
    <sheetView showGridLines="0" view="pageBreakPreview" zoomScale="70" zoomScaleNormal="75" zoomScaleSheetLayoutView="70" workbookViewId="0">
      <selection activeCell="D38" sqref="D38:I38"/>
    </sheetView>
  </sheetViews>
  <sheetFormatPr defaultColWidth="3.77734375" defaultRowHeight="14.4" customHeight="1" x14ac:dyDescent="0.3"/>
  <cols>
    <col min="1" max="1" width="6.5546875" style="4" customWidth="1"/>
    <col min="2" max="2" width="5.21875" style="4" customWidth="1"/>
    <col min="3" max="3" width="5" style="4" customWidth="1"/>
    <col min="4" max="4" width="4.77734375" style="4" customWidth="1"/>
    <col min="5" max="5" width="7.21875" style="4" customWidth="1"/>
    <col min="6" max="6" width="5.77734375" style="4" customWidth="1"/>
    <col min="7" max="7" width="2.77734375" style="4" customWidth="1"/>
    <col min="8" max="8" width="5.44140625" style="4" customWidth="1"/>
    <col min="9" max="9" width="5.21875" style="4" customWidth="1"/>
    <col min="10" max="10" width="2.77734375" style="4" customWidth="1"/>
    <col min="11" max="11" width="5.77734375" style="4" customWidth="1"/>
    <col min="12" max="12" width="3.77734375" style="4" customWidth="1"/>
    <col min="13" max="13" width="4.21875" style="4" customWidth="1"/>
    <col min="14" max="14" width="2.77734375" style="4" customWidth="1"/>
    <col min="15" max="15" width="3.77734375" style="4" customWidth="1"/>
    <col min="16" max="16" width="6.21875" style="4" customWidth="1"/>
    <col min="17" max="17" width="4.77734375" style="4" customWidth="1"/>
    <col min="18" max="18" width="2.77734375" style="4" customWidth="1"/>
    <col min="19" max="20" width="3.77734375" style="4" customWidth="1"/>
    <col min="21" max="21" width="8.5546875" style="4" customWidth="1"/>
    <col min="22" max="22" width="3.77734375" style="4" customWidth="1"/>
    <col min="23" max="23" width="2.77734375" style="4" customWidth="1"/>
    <col min="24" max="24" width="3.77734375" style="4" customWidth="1"/>
    <col min="25" max="25" width="5.21875" style="4" customWidth="1"/>
    <col min="26" max="26" width="6.21875" style="4" customWidth="1"/>
    <col min="27" max="27" width="5.77734375" style="4" customWidth="1"/>
    <col min="28" max="28" width="2.77734375" style="4" customWidth="1"/>
    <col min="29" max="29" width="7" style="4" customWidth="1"/>
    <col min="30" max="30" width="3.77734375" style="4" customWidth="1"/>
    <col min="31" max="31" width="7.77734375" style="4" customWidth="1"/>
    <col min="32" max="32" width="4.77734375" style="4" customWidth="1"/>
    <col min="33" max="33" width="3.77734375" style="4"/>
    <col min="34" max="34" width="15.5546875" style="4" bestFit="1" customWidth="1"/>
    <col min="35" max="35" width="100.77734375" style="4" customWidth="1"/>
    <col min="36" max="16384" width="3.77734375" style="4"/>
  </cols>
  <sheetData>
    <row r="1" spans="1:35" ht="25.05" customHeight="1" x14ac:dyDescent="0.3">
      <c r="A1" s="1" t="s">
        <v>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3"/>
    </row>
    <row r="2" spans="1:35" ht="16.05" customHeight="1" x14ac:dyDescent="0.3">
      <c r="A2" s="5"/>
      <c r="B2" s="6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8"/>
      <c r="AF2" s="9"/>
    </row>
    <row r="3" spans="1:35" ht="16.05" customHeight="1" x14ac:dyDescent="0.3">
      <c r="A3" s="5"/>
      <c r="B3" s="10"/>
      <c r="AE3" s="11"/>
      <c r="AF3" s="9"/>
    </row>
    <row r="4" spans="1:35" ht="16.05" customHeight="1" x14ac:dyDescent="0.3">
      <c r="A4" s="5"/>
      <c r="B4" s="10"/>
      <c r="AE4" s="11"/>
      <c r="AF4" s="9"/>
    </row>
    <row r="5" spans="1:35" ht="16.05" customHeight="1" thickBot="1" x14ac:dyDescent="0.35">
      <c r="A5" s="5"/>
      <c r="B5" s="10"/>
      <c r="AE5" s="11"/>
      <c r="AF5" s="9"/>
    </row>
    <row r="6" spans="1:35" ht="16.05" customHeight="1" x14ac:dyDescent="0.3">
      <c r="A6" s="5"/>
      <c r="B6" s="10"/>
      <c r="AE6" s="11"/>
      <c r="AF6" s="9"/>
      <c r="AH6" s="12" t="s">
        <v>92</v>
      </c>
      <c r="AI6" s="13"/>
    </row>
    <row r="7" spans="1:35" ht="16.05" customHeight="1" x14ac:dyDescent="0.3">
      <c r="A7" s="5"/>
      <c r="B7" s="10"/>
      <c r="AE7" s="11"/>
      <c r="AF7" s="9"/>
      <c r="AH7" s="14" t="s">
        <v>93</v>
      </c>
      <c r="AI7" s="9"/>
    </row>
    <row r="8" spans="1:35" ht="16.05" customHeight="1" x14ac:dyDescent="0.3">
      <c r="A8" s="5"/>
      <c r="B8" s="10"/>
      <c r="AE8" s="11"/>
      <c r="AF8" s="9"/>
      <c r="AH8" s="14" t="s">
        <v>94</v>
      </c>
      <c r="AI8" s="9"/>
    </row>
    <row r="9" spans="1:35" ht="16.05" customHeight="1" x14ac:dyDescent="0.3">
      <c r="A9" s="5"/>
      <c r="B9" s="10"/>
      <c r="AE9" s="11"/>
      <c r="AF9" s="9"/>
      <c r="AH9" s="14" t="s">
        <v>95</v>
      </c>
      <c r="AI9" s="9"/>
    </row>
    <row r="10" spans="1:35" ht="16.05" customHeight="1" x14ac:dyDescent="0.3">
      <c r="A10" s="5"/>
      <c r="B10" s="10"/>
      <c r="AE10" s="11"/>
      <c r="AF10" s="9"/>
      <c r="AH10" s="14" t="s">
        <v>96</v>
      </c>
      <c r="AI10" s="9"/>
    </row>
    <row r="11" spans="1:35" ht="16.05" customHeight="1" x14ac:dyDescent="0.3">
      <c r="A11" s="5"/>
      <c r="B11" s="10"/>
      <c r="AE11" s="11"/>
      <c r="AF11" s="9"/>
      <c r="AH11" s="14" t="s">
        <v>97</v>
      </c>
      <c r="AI11" s="9"/>
    </row>
    <row r="12" spans="1:35" ht="16.05" customHeight="1" x14ac:dyDescent="0.3">
      <c r="A12" s="5"/>
      <c r="B12" s="10"/>
      <c r="AE12" s="11"/>
      <c r="AF12" s="9"/>
      <c r="AH12" s="14" t="s">
        <v>98</v>
      </c>
      <c r="AI12" s="9"/>
    </row>
    <row r="13" spans="1:35" ht="16.05" customHeight="1" x14ac:dyDescent="0.3">
      <c r="A13" s="5"/>
      <c r="B13" s="10"/>
      <c r="AE13" s="11"/>
      <c r="AF13" s="9"/>
      <c r="AH13" s="14" t="s">
        <v>99</v>
      </c>
      <c r="AI13" s="9"/>
    </row>
    <row r="14" spans="1:35" ht="16.05" customHeight="1" x14ac:dyDescent="0.3">
      <c r="A14" s="5"/>
      <c r="B14" s="10"/>
      <c r="AE14" s="11"/>
      <c r="AF14" s="9"/>
      <c r="AH14" s="14" t="s">
        <v>100</v>
      </c>
      <c r="AI14" s="9"/>
    </row>
    <row r="15" spans="1:35" ht="16.05" customHeight="1" thickBot="1" x14ac:dyDescent="0.35">
      <c r="A15" s="5"/>
      <c r="B15" s="10"/>
      <c r="AE15" s="11"/>
      <c r="AF15" s="9"/>
      <c r="AH15" s="15" t="s">
        <v>101</v>
      </c>
      <c r="AI15" s="16"/>
    </row>
    <row r="16" spans="1:35" ht="16.05" customHeight="1" x14ac:dyDescent="0.3">
      <c r="A16" s="5"/>
      <c r="B16" s="10"/>
      <c r="AE16" s="11"/>
      <c r="AF16" s="9"/>
    </row>
    <row r="17" spans="1:32" ht="16.05" customHeight="1" x14ac:dyDescent="0.3">
      <c r="A17" s="5"/>
      <c r="B17" s="10"/>
      <c r="AE17" s="11"/>
      <c r="AF17" s="9"/>
    </row>
    <row r="18" spans="1:32" ht="16.05" customHeight="1" x14ac:dyDescent="0.3">
      <c r="A18" s="5"/>
      <c r="B18" s="10"/>
      <c r="AE18" s="11"/>
      <c r="AF18" s="9"/>
    </row>
    <row r="19" spans="1:32" ht="16.05" customHeight="1" x14ac:dyDescent="0.3">
      <c r="A19" s="5"/>
      <c r="B19" s="10"/>
      <c r="AE19" s="11"/>
      <c r="AF19" s="9"/>
    </row>
    <row r="20" spans="1:32" ht="16.05" customHeight="1" x14ac:dyDescent="0.3">
      <c r="A20" s="5"/>
      <c r="B20" s="10"/>
      <c r="AE20" s="11"/>
      <c r="AF20" s="9"/>
    </row>
    <row r="21" spans="1:32" ht="16.05" customHeight="1" x14ac:dyDescent="0.3">
      <c r="A21" s="5"/>
      <c r="B21" s="10"/>
      <c r="AE21" s="11"/>
      <c r="AF21" s="9"/>
    </row>
    <row r="22" spans="1:32" ht="16.05" customHeight="1" x14ac:dyDescent="0.3">
      <c r="A22" s="5"/>
      <c r="B22" s="10"/>
      <c r="AE22" s="11"/>
      <c r="AF22" s="9"/>
    </row>
    <row r="23" spans="1:32" ht="16.05" customHeight="1" x14ac:dyDescent="0.3">
      <c r="A23" s="5"/>
      <c r="B23" s="10"/>
      <c r="AE23" s="11"/>
      <c r="AF23" s="9"/>
    </row>
    <row r="24" spans="1:32" ht="16.05" customHeight="1" x14ac:dyDescent="0.3">
      <c r="A24" s="5"/>
      <c r="B24" s="10"/>
      <c r="AE24" s="11"/>
      <c r="AF24" s="9"/>
    </row>
    <row r="25" spans="1:32" ht="16.05" customHeight="1" x14ac:dyDescent="0.3">
      <c r="A25" s="5"/>
      <c r="B25" s="10"/>
      <c r="AE25" s="11"/>
      <c r="AF25" s="9"/>
    </row>
    <row r="26" spans="1:32" ht="16.05" customHeight="1" x14ac:dyDescent="0.3">
      <c r="A26" s="5"/>
      <c r="B26" s="10"/>
      <c r="AE26" s="11"/>
      <c r="AF26" s="9"/>
    </row>
    <row r="27" spans="1:32" ht="16.05" customHeight="1" x14ac:dyDescent="0.3">
      <c r="A27" s="5"/>
      <c r="B27" s="17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9"/>
      <c r="AF27" s="9"/>
    </row>
    <row r="28" spans="1:32" ht="16.05" customHeight="1" x14ac:dyDescent="0.3">
      <c r="A28" s="5"/>
      <c r="B28" s="20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9"/>
      <c r="AF28" s="9"/>
    </row>
    <row r="29" spans="1:32" ht="25.05" customHeight="1" x14ac:dyDescent="0.3">
      <c r="A29" s="5"/>
      <c r="B29" s="21" t="str">
        <f>H40</f>
        <v>00-01-00</v>
      </c>
      <c r="C29" s="21"/>
      <c r="D29" s="21"/>
      <c r="E29" s="21"/>
      <c r="F29" s="22" t="str">
        <f>UPPER(AE44)</f>
        <v>0</v>
      </c>
      <c r="G29" s="22"/>
      <c r="H29" s="22"/>
      <c r="I29" s="22" t="s">
        <v>43</v>
      </c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3"/>
      <c r="AA29" s="24"/>
      <c r="AB29" s="23"/>
      <c r="AC29" s="24"/>
      <c r="AD29" s="23"/>
      <c r="AE29" s="24"/>
      <c r="AF29" s="9"/>
    </row>
    <row r="30" spans="1:32" ht="20.100000000000001" customHeight="1" x14ac:dyDescent="0.3">
      <c r="A30" s="5"/>
      <c r="B30" s="21"/>
      <c r="C30" s="21"/>
      <c r="D30" s="21"/>
      <c r="E30" s="21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5">
        <f>AI7</f>
        <v>0</v>
      </c>
      <c r="AA30" s="22"/>
      <c r="AB30" s="25">
        <f>AI8</f>
        <v>0</v>
      </c>
      <c r="AC30" s="22"/>
      <c r="AD30" s="25">
        <f>AI9</f>
        <v>0</v>
      </c>
      <c r="AE30" s="22"/>
      <c r="AF30" s="9"/>
    </row>
    <row r="31" spans="1:32" ht="26.25" customHeight="1" x14ac:dyDescent="0.3">
      <c r="A31" s="5"/>
      <c r="B31" s="26" t="s">
        <v>44</v>
      </c>
      <c r="C31" s="26"/>
      <c r="D31" s="26"/>
      <c r="E31" s="26"/>
      <c r="F31" s="26" t="s">
        <v>45</v>
      </c>
      <c r="G31" s="26"/>
      <c r="H31" s="26"/>
      <c r="I31" s="26" t="s">
        <v>46</v>
      </c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7" t="s">
        <v>47</v>
      </c>
      <c r="AA31" s="27"/>
      <c r="AB31" s="27" t="s">
        <v>48</v>
      </c>
      <c r="AC31" s="27"/>
      <c r="AD31" s="27" t="s">
        <v>49</v>
      </c>
      <c r="AE31" s="27"/>
      <c r="AF31" s="9"/>
    </row>
    <row r="32" spans="1:32" ht="24" customHeight="1" x14ac:dyDescent="0.3">
      <c r="A32" s="5"/>
      <c r="B32" s="28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30"/>
      <c r="AF32" s="9"/>
    </row>
    <row r="33" spans="1:32" ht="49.5" customHeight="1" x14ac:dyDescent="0.3">
      <c r="A33" s="5"/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3"/>
      <c r="AF33" s="9"/>
    </row>
    <row r="34" spans="1:32" ht="55.95" customHeight="1" x14ac:dyDescent="0.3">
      <c r="A34" s="5"/>
      <c r="B34" s="34" t="s">
        <v>68</v>
      </c>
      <c r="C34" s="34"/>
      <c r="D34" s="34"/>
      <c r="E34" s="34"/>
      <c r="F34" s="35" t="str">
        <f>UPPER(AI12)</f>
        <v/>
      </c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9"/>
    </row>
    <row r="35" spans="1:32" ht="55.95" customHeight="1" x14ac:dyDescent="0.3">
      <c r="A35" s="5"/>
      <c r="B35" s="34" t="s">
        <v>71</v>
      </c>
      <c r="C35" s="34"/>
      <c r="D35" s="34"/>
      <c r="E35" s="34"/>
      <c r="F35" s="35" t="str">
        <f>UPPER(AI13)</f>
        <v/>
      </c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9"/>
    </row>
    <row r="36" spans="1:32" ht="68.25" customHeight="1" x14ac:dyDescent="0.3">
      <c r="A36" s="5"/>
      <c r="B36" s="34" t="s">
        <v>69</v>
      </c>
      <c r="C36" s="34"/>
      <c r="D36" s="34"/>
      <c r="E36" s="34"/>
      <c r="F36" s="35" t="str">
        <f>UPPER(AI11)</f>
        <v/>
      </c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9"/>
    </row>
    <row r="37" spans="1:32" ht="56.1" customHeight="1" x14ac:dyDescent="0.3">
      <c r="A37" s="5"/>
      <c r="B37" s="34" t="s">
        <v>70</v>
      </c>
      <c r="C37" s="34"/>
      <c r="D37" s="34"/>
      <c r="E37" s="34"/>
      <c r="F37" s="22" t="s">
        <v>50</v>
      </c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9"/>
    </row>
    <row r="38" spans="1:32" ht="22.5" customHeight="1" x14ac:dyDescent="0.3">
      <c r="A38" s="36"/>
      <c r="B38" s="26" t="s">
        <v>51</v>
      </c>
      <c r="C38" s="26"/>
      <c r="D38" s="37" t="str">
        <f>LEFT(AI14,8)</f>
        <v/>
      </c>
      <c r="E38" s="37"/>
      <c r="F38" s="37"/>
      <c r="G38" s="37"/>
      <c r="H38" s="37"/>
      <c r="I38" s="37"/>
      <c r="J38" s="38" t="s">
        <v>52</v>
      </c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9"/>
    </row>
    <row r="39" spans="1:32" ht="20.25" customHeight="1" x14ac:dyDescent="0.3">
      <c r="A39" s="36"/>
      <c r="B39" s="22"/>
      <c r="C39" s="22"/>
      <c r="D39" s="26" t="s">
        <v>53</v>
      </c>
      <c r="E39" s="26"/>
      <c r="F39" s="26" t="s">
        <v>54</v>
      </c>
      <c r="G39" s="26"/>
      <c r="H39" s="26" t="s">
        <v>44</v>
      </c>
      <c r="I39" s="26"/>
      <c r="J39" s="39" t="str">
        <f>"INSTRUMENT LIST FOR "&amp;UPPER(AI15)</f>
        <v xml:space="preserve">INSTRUMENT LIST FOR </v>
      </c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9"/>
    </row>
    <row r="40" spans="1:32" ht="25.05" customHeight="1" x14ac:dyDescent="0.3">
      <c r="A40" s="36"/>
      <c r="B40" s="26" t="s">
        <v>55</v>
      </c>
      <c r="C40" s="26"/>
      <c r="D40" s="22">
        <f>Z30</f>
        <v>0</v>
      </c>
      <c r="E40" s="22"/>
      <c r="F40" s="40"/>
      <c r="G40" s="41"/>
      <c r="H40" s="42" t="str">
        <f>TEXT(AI6,"DD-MM-YY")</f>
        <v>00-01-00</v>
      </c>
      <c r="I40" s="42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9"/>
    </row>
    <row r="41" spans="1:32" ht="25.05" customHeight="1" x14ac:dyDescent="0.3">
      <c r="A41" s="36"/>
      <c r="B41" s="26" t="s">
        <v>56</v>
      </c>
      <c r="C41" s="26"/>
      <c r="D41" s="22">
        <f>AB30</f>
        <v>0</v>
      </c>
      <c r="E41" s="22"/>
      <c r="F41" s="40"/>
      <c r="G41" s="41"/>
      <c r="H41" s="42" t="e">
        <f>H40+1</f>
        <v>#VALUE!</v>
      </c>
      <c r="I41" s="42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9"/>
    </row>
    <row r="42" spans="1:32" ht="25.05" customHeight="1" x14ac:dyDescent="0.3">
      <c r="A42" s="36"/>
      <c r="B42" s="26" t="s">
        <v>57</v>
      </c>
      <c r="C42" s="26"/>
      <c r="D42" s="22">
        <f>AD30</f>
        <v>0</v>
      </c>
      <c r="E42" s="22"/>
      <c r="F42" s="40"/>
      <c r="G42" s="40"/>
      <c r="H42" s="42" t="e">
        <f>H41</f>
        <v>#VALUE!</v>
      </c>
      <c r="I42" s="42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9"/>
    </row>
    <row r="43" spans="1:32" ht="25.05" customHeight="1" x14ac:dyDescent="0.3">
      <c r="A43" s="36"/>
      <c r="B43" s="6"/>
      <c r="C43" s="7"/>
      <c r="D43" s="7"/>
      <c r="E43" s="7"/>
      <c r="F43" s="7"/>
      <c r="G43" s="7"/>
      <c r="H43" s="7"/>
      <c r="I43" s="7"/>
      <c r="AA43" s="11"/>
      <c r="AB43" s="43" t="s">
        <v>58</v>
      </c>
      <c r="AC43" s="44"/>
      <c r="AD43" s="43" t="s">
        <v>59</v>
      </c>
      <c r="AE43" s="44"/>
      <c r="AF43" s="9"/>
    </row>
    <row r="44" spans="1:32" ht="25.05" customHeight="1" x14ac:dyDescent="0.3">
      <c r="A44" s="36"/>
      <c r="B44" s="45" t="s">
        <v>60</v>
      </c>
      <c r="C44" s="46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10"/>
      <c r="AC44" s="48" t="s">
        <v>61</v>
      </c>
      <c r="AD44" s="49"/>
      <c r="AE44" s="50">
        <f>AI10</f>
        <v>0</v>
      </c>
      <c r="AF44" s="9"/>
    </row>
    <row r="45" spans="1:32" ht="25.05" customHeight="1" x14ac:dyDescent="0.3">
      <c r="A45" s="36"/>
      <c r="B45" s="51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  <c r="Y45" s="52"/>
      <c r="Z45" s="52"/>
      <c r="AA45" s="53"/>
      <c r="AB45" s="54"/>
      <c r="AC45" s="55"/>
      <c r="AD45" s="56"/>
      <c r="AE45" s="57"/>
      <c r="AF45" s="9"/>
    </row>
    <row r="46" spans="1:32" ht="15" customHeight="1" x14ac:dyDescent="0.3">
      <c r="A46" s="36"/>
      <c r="B46" s="6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9"/>
    </row>
    <row r="47" spans="1:32" ht="20.100000000000001" customHeight="1" x14ac:dyDescent="0.3">
      <c r="A47" s="36"/>
      <c r="B47" s="10"/>
      <c r="F47" s="6"/>
      <c r="G47" s="7"/>
      <c r="H47" s="7"/>
      <c r="I47" s="7"/>
      <c r="J47" s="7"/>
      <c r="K47" s="7"/>
      <c r="L47" s="8"/>
      <c r="M47" s="6"/>
      <c r="N47" s="7"/>
      <c r="O47" s="7"/>
      <c r="P47" s="8"/>
      <c r="Q47" s="6"/>
      <c r="R47" s="7"/>
      <c r="S47" s="7"/>
      <c r="T47" s="7"/>
      <c r="U47" s="8"/>
      <c r="V47" s="6"/>
      <c r="W47" s="7"/>
      <c r="X47" s="7"/>
      <c r="Y47" s="7"/>
      <c r="Z47" s="8"/>
      <c r="AA47" s="6"/>
      <c r="AB47" s="7"/>
      <c r="AC47" s="7"/>
      <c r="AD47" s="7"/>
      <c r="AE47" s="8"/>
      <c r="AF47" s="9"/>
    </row>
    <row r="48" spans="1:32" ht="16.05" customHeight="1" x14ac:dyDescent="0.3">
      <c r="A48" s="36"/>
      <c r="B48" s="45" t="s">
        <v>62</v>
      </c>
      <c r="C48" s="58"/>
      <c r="D48" s="58"/>
      <c r="E48" s="58"/>
      <c r="F48" s="10"/>
      <c r="G48" s="59"/>
      <c r="H48" s="60" t="s">
        <v>63</v>
      </c>
      <c r="I48" s="61"/>
      <c r="J48" s="61"/>
      <c r="K48" s="61"/>
      <c r="L48" s="62"/>
      <c r="M48" s="63"/>
      <c r="N48" s="59"/>
      <c r="O48" s="60" t="s">
        <v>64</v>
      </c>
      <c r="P48" s="62"/>
      <c r="Q48" s="10"/>
      <c r="R48" s="59"/>
      <c r="S48" s="60" t="s">
        <v>65</v>
      </c>
      <c r="T48" s="61"/>
      <c r="U48" s="62"/>
      <c r="V48" s="63"/>
      <c r="W48" s="64" t="s">
        <v>102</v>
      </c>
      <c r="X48" s="60" t="s">
        <v>66</v>
      </c>
      <c r="Y48" s="61"/>
      <c r="Z48" s="62"/>
      <c r="AA48" s="10"/>
      <c r="AB48" s="59"/>
      <c r="AC48" s="60" t="s">
        <v>67</v>
      </c>
      <c r="AE48" s="11"/>
      <c r="AF48" s="9"/>
    </row>
    <row r="49" spans="1:32" ht="20.100000000000001" customHeight="1" x14ac:dyDescent="0.3">
      <c r="A49" s="36"/>
      <c r="B49" s="65"/>
      <c r="C49" s="58"/>
      <c r="D49" s="58"/>
      <c r="E49" s="58"/>
      <c r="F49" s="66"/>
      <c r="G49" s="67"/>
      <c r="H49" s="67"/>
      <c r="I49" s="67"/>
      <c r="J49" s="67"/>
      <c r="K49" s="67"/>
      <c r="L49" s="68"/>
      <c r="M49" s="66"/>
      <c r="N49" s="67"/>
      <c r="O49" s="67"/>
      <c r="P49" s="68"/>
      <c r="Q49" s="66"/>
      <c r="R49" s="67"/>
      <c r="S49" s="67"/>
      <c r="T49" s="67"/>
      <c r="U49" s="68"/>
      <c r="V49" s="66"/>
      <c r="W49" s="67"/>
      <c r="X49" s="67"/>
      <c r="Y49" s="67"/>
      <c r="Z49" s="68"/>
      <c r="AA49" s="66"/>
      <c r="AB49" s="67"/>
      <c r="AC49" s="67"/>
      <c r="AD49" s="67"/>
      <c r="AE49" s="53"/>
      <c r="AF49" s="9"/>
    </row>
    <row r="50" spans="1:32" ht="25.05" customHeight="1" x14ac:dyDescent="0.3">
      <c r="A50" s="36"/>
      <c r="B50" s="51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3"/>
      <c r="AF50" s="9"/>
    </row>
    <row r="51" spans="1:32" ht="25.05" customHeight="1" thickBot="1" x14ac:dyDescent="0.35">
      <c r="A51" s="15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  <c r="AD51" s="69"/>
      <c r="AE51" s="69"/>
      <c r="AF51" s="16"/>
    </row>
  </sheetData>
  <mergeCells count="59">
    <mergeCell ref="A1:A37"/>
    <mergeCell ref="B29:E30"/>
    <mergeCell ref="F29:H30"/>
    <mergeCell ref="I29:Y30"/>
    <mergeCell ref="B31:E31"/>
    <mergeCell ref="F31:H31"/>
    <mergeCell ref="I31:Y31"/>
    <mergeCell ref="B32:AE33"/>
    <mergeCell ref="B34:E34"/>
    <mergeCell ref="F34:AE34"/>
    <mergeCell ref="AB43:AC43"/>
    <mergeCell ref="AD43:AE43"/>
    <mergeCell ref="B39:C39"/>
    <mergeCell ref="B38:C38"/>
    <mergeCell ref="D38:I38"/>
    <mergeCell ref="J38:AE38"/>
    <mergeCell ref="D39:E39"/>
    <mergeCell ref="F39:G39"/>
    <mergeCell ref="H39:I39"/>
    <mergeCell ref="J39:AE42"/>
    <mergeCell ref="B40:C40"/>
    <mergeCell ref="D40:E40"/>
    <mergeCell ref="F40:G40"/>
    <mergeCell ref="H40:I40"/>
    <mergeCell ref="B41:C41"/>
    <mergeCell ref="D41:E41"/>
    <mergeCell ref="F41:G41"/>
    <mergeCell ref="H41:I41"/>
    <mergeCell ref="B42:C42"/>
    <mergeCell ref="D42:E42"/>
    <mergeCell ref="F42:G42"/>
    <mergeCell ref="H42:I42"/>
    <mergeCell ref="B35:E35"/>
    <mergeCell ref="F35:AE35"/>
    <mergeCell ref="B36:E36"/>
    <mergeCell ref="F36:AE36"/>
    <mergeCell ref="AB28:AC28"/>
    <mergeCell ref="AD28:AE28"/>
    <mergeCell ref="AD29:AE29"/>
    <mergeCell ref="Z30:AA30"/>
    <mergeCell ref="AB30:AC30"/>
    <mergeCell ref="AB29:AC29"/>
    <mergeCell ref="AD30:AE30"/>
    <mergeCell ref="Z31:AA31"/>
    <mergeCell ref="AB31:AC31"/>
    <mergeCell ref="AD31:AE31"/>
    <mergeCell ref="B27:E27"/>
    <mergeCell ref="F27:H27"/>
    <mergeCell ref="I27:Y27"/>
    <mergeCell ref="Z27:AA27"/>
    <mergeCell ref="AB27:AC27"/>
    <mergeCell ref="AD27:AE27"/>
    <mergeCell ref="B28:E28"/>
    <mergeCell ref="F28:H28"/>
    <mergeCell ref="I28:Y28"/>
    <mergeCell ref="Z28:AA28"/>
    <mergeCell ref="Z29:AA29"/>
    <mergeCell ref="B37:E37"/>
    <mergeCell ref="F37:AE37"/>
  </mergeCells>
  <printOptions horizontalCentered="1"/>
  <pageMargins left="0.25" right="0.25" top="0.75" bottom="0.75" header="0.3" footer="0.3"/>
  <pageSetup paperSize="9" scale="63" fitToHeight="0" orientation="portrait" r:id="rId1"/>
  <headerFooter alignWithMargins="0">
    <oddFooter>&amp;L&amp;1#&amp;"Calibri"&amp;8&amp;K000000Sensitivity: LNT Construction Internal Use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525"/>
  <sheetViews>
    <sheetView showGridLines="0" tabSelected="1" view="pageBreakPreview" zoomScale="50" zoomScaleNormal="55" zoomScaleSheetLayoutView="50" zoomScalePageLayoutView="95" workbookViewId="0">
      <pane ySplit="5" topLeftCell="A6" activePane="bottomLeft" state="frozen"/>
      <selection pane="bottomLeft" sqref="A1:C1"/>
    </sheetView>
  </sheetViews>
  <sheetFormatPr defaultColWidth="8.77734375" defaultRowHeight="14.4" x14ac:dyDescent="0.3"/>
  <cols>
    <col min="1" max="1" width="11.77734375" style="76" customWidth="1"/>
    <col min="2" max="2" width="25.6640625" style="76" customWidth="1"/>
    <col min="3" max="3" width="30.21875" style="77" customWidth="1"/>
    <col min="4" max="4" width="111.5546875" style="76" customWidth="1"/>
    <col min="5" max="5" width="26.88671875" style="76" customWidth="1"/>
    <col min="6" max="6" width="16" style="76" bestFit="1" customWidth="1"/>
    <col min="7" max="7" width="22.77734375" style="76" bestFit="1" customWidth="1"/>
    <col min="8" max="8" width="10.44140625" style="76" customWidth="1"/>
    <col min="9" max="9" width="11" style="76" customWidth="1"/>
    <col min="10" max="10" width="12" style="76" customWidth="1"/>
    <col min="11" max="12" width="10.5546875" style="76" customWidth="1"/>
    <col min="13" max="13" width="19.21875" style="76" customWidth="1"/>
    <col min="14" max="14" width="34.109375" style="77" customWidth="1"/>
    <col min="15" max="16384" width="8.77734375" style="76"/>
  </cols>
  <sheetData>
    <row r="1" spans="1:14" s="71" customFormat="1" ht="53.25" customHeight="1" x14ac:dyDescent="0.35">
      <c r="A1" s="86"/>
      <c r="B1" s="87"/>
      <c r="C1" s="88"/>
      <c r="D1" s="89">
        <f>Cover!AI11</f>
        <v>0</v>
      </c>
      <c r="E1" s="90"/>
      <c r="F1" s="90"/>
      <c r="G1" s="90"/>
      <c r="H1" s="90"/>
      <c r="I1" s="90"/>
      <c r="J1" s="90"/>
      <c r="K1" s="90"/>
      <c r="L1" s="91"/>
      <c r="M1" s="90" t="s">
        <v>0</v>
      </c>
      <c r="N1" s="90"/>
    </row>
    <row r="2" spans="1:14" s="71" customFormat="1" ht="37.5" customHeight="1" x14ac:dyDescent="0.35">
      <c r="A2" s="92" t="s">
        <v>17</v>
      </c>
      <c r="B2" s="93">
        <f>Cover!AI12</f>
        <v>0</v>
      </c>
      <c r="C2" s="93"/>
      <c r="D2" s="90" t="str">
        <f>"DOCUMENT NAME: "&amp;_xlfn.SINGLE(Cover!J39)</f>
        <v xml:space="preserve">DOCUMENT NAME: INSTRUMENT LIST FOR </v>
      </c>
      <c r="E2" s="90"/>
      <c r="F2" s="90"/>
      <c r="G2" s="90"/>
      <c r="H2" s="90"/>
      <c r="I2" s="90"/>
      <c r="J2" s="90"/>
      <c r="K2" s="90"/>
      <c r="L2" s="91"/>
      <c r="M2" s="90" t="str">
        <f>"DATE: "&amp;Cover!AI6</f>
        <v xml:space="preserve">DATE: </v>
      </c>
      <c r="N2" s="90"/>
    </row>
    <row r="3" spans="1:14" s="71" customFormat="1" ht="37.5" customHeight="1" x14ac:dyDescent="0.35">
      <c r="A3" s="94" t="str">
        <f>"CONSULTANT: "&amp;Cover!AI13</f>
        <v xml:space="preserve">CONSULTANT: </v>
      </c>
      <c r="B3" s="95"/>
      <c r="C3" s="95"/>
      <c r="D3" s="90" t="str">
        <f>"DOCUMENT NO: "&amp;Cover!AI14&amp;" REV "&amp;Cover!AI10</f>
        <v xml:space="preserve">DOCUMENT NO:  REV </v>
      </c>
      <c r="E3" s="90"/>
      <c r="F3" s="90"/>
      <c r="G3" s="90"/>
      <c r="H3" s="90"/>
      <c r="I3" s="90"/>
      <c r="J3" s="90"/>
      <c r="K3" s="90"/>
      <c r="L3" s="96"/>
      <c r="M3" s="86"/>
      <c r="N3" s="88"/>
    </row>
    <row r="4" spans="1:14" s="71" customFormat="1" ht="25.5" customHeight="1" x14ac:dyDescent="0.35">
      <c r="A4" s="97" t="s">
        <v>16</v>
      </c>
      <c r="B4" s="97" t="s">
        <v>15</v>
      </c>
      <c r="C4" s="97" t="s">
        <v>14</v>
      </c>
      <c r="D4" s="97" t="s">
        <v>13</v>
      </c>
      <c r="E4" s="97" t="s">
        <v>4</v>
      </c>
      <c r="F4" s="97" t="s">
        <v>2</v>
      </c>
      <c r="G4" s="97" t="s">
        <v>3</v>
      </c>
      <c r="H4" s="98" t="s">
        <v>89</v>
      </c>
      <c r="I4" s="99"/>
      <c r="J4" s="99"/>
      <c r="K4" s="99"/>
      <c r="L4" s="100" t="s">
        <v>88</v>
      </c>
      <c r="M4" s="97" t="s">
        <v>12</v>
      </c>
      <c r="N4" s="97" t="s">
        <v>5</v>
      </c>
    </row>
    <row r="5" spans="1:14" s="71" customFormat="1" ht="24.75" customHeight="1" x14ac:dyDescent="0.35">
      <c r="A5" s="97"/>
      <c r="B5" s="97"/>
      <c r="C5" s="97"/>
      <c r="D5" s="97" t="s">
        <v>1</v>
      </c>
      <c r="E5" s="97" t="s">
        <v>4</v>
      </c>
      <c r="F5" s="97" t="s">
        <v>6</v>
      </c>
      <c r="G5" s="97" t="s">
        <v>6</v>
      </c>
      <c r="H5" s="101" t="s">
        <v>7</v>
      </c>
      <c r="I5" s="101" t="s">
        <v>8</v>
      </c>
      <c r="J5" s="101" t="s">
        <v>9</v>
      </c>
      <c r="K5" s="101" t="s">
        <v>10</v>
      </c>
      <c r="L5" s="102"/>
      <c r="M5" s="97"/>
      <c r="N5" s="97"/>
    </row>
    <row r="6" spans="1:14" s="72" customFormat="1" ht="28.8" customHeight="1" x14ac:dyDescent="0.3">
      <c r="A6" s="111"/>
      <c r="B6" s="111"/>
      <c r="C6" s="111"/>
      <c r="D6" s="111"/>
      <c r="E6" s="111"/>
      <c r="F6" s="111"/>
      <c r="G6" s="111"/>
      <c r="H6" s="111"/>
      <c r="I6" s="111"/>
      <c r="J6" s="111"/>
      <c r="K6" s="111"/>
      <c r="L6" s="111"/>
      <c r="M6" s="111"/>
      <c r="N6" s="111"/>
    </row>
    <row r="7" spans="1:14" s="73" customFormat="1" ht="28.8" customHeight="1" x14ac:dyDescent="0.3">
      <c r="A7" s="103"/>
      <c r="B7" s="103"/>
      <c r="C7" s="103"/>
      <c r="D7" s="104"/>
      <c r="E7" s="105"/>
      <c r="F7" s="105"/>
      <c r="G7" s="105"/>
      <c r="H7" s="105"/>
      <c r="I7" s="105"/>
      <c r="J7" s="105"/>
      <c r="K7" s="105"/>
      <c r="L7" s="105"/>
      <c r="M7" s="105"/>
      <c r="N7" s="106"/>
    </row>
    <row r="8" spans="1:14" s="73" customFormat="1" ht="28.8" customHeight="1" x14ac:dyDescent="0.3">
      <c r="A8" s="103"/>
      <c r="B8" s="103"/>
      <c r="C8" s="106"/>
      <c r="D8" s="104"/>
      <c r="E8" s="105"/>
      <c r="F8" s="105"/>
      <c r="G8" s="105"/>
      <c r="H8" s="105"/>
      <c r="I8" s="105"/>
      <c r="J8" s="105"/>
      <c r="K8" s="105"/>
      <c r="L8" s="105"/>
      <c r="M8" s="105"/>
      <c r="N8" s="106"/>
    </row>
    <row r="9" spans="1:14" s="73" customFormat="1" ht="28.8" customHeight="1" x14ac:dyDescent="0.3">
      <c r="A9" s="103"/>
      <c r="B9" s="103"/>
      <c r="C9" s="106"/>
      <c r="D9" s="104"/>
      <c r="E9" s="105"/>
      <c r="F9" s="105"/>
      <c r="G9" s="105"/>
      <c r="H9" s="105"/>
      <c r="I9" s="105"/>
      <c r="J9" s="105"/>
      <c r="K9" s="105"/>
      <c r="L9" s="105"/>
      <c r="M9" s="105"/>
      <c r="N9" s="106"/>
    </row>
    <row r="10" spans="1:14" s="73" customFormat="1" ht="28.8" customHeight="1" x14ac:dyDescent="0.3">
      <c r="A10" s="103"/>
      <c r="B10" s="103"/>
      <c r="C10" s="106"/>
      <c r="D10" s="104"/>
      <c r="E10" s="105"/>
      <c r="F10" s="105"/>
      <c r="G10" s="105"/>
      <c r="H10" s="105"/>
      <c r="I10" s="105"/>
      <c r="J10" s="105"/>
      <c r="K10" s="105"/>
      <c r="L10" s="105"/>
      <c r="M10" s="105"/>
      <c r="N10" s="106"/>
    </row>
    <row r="11" spans="1:14" s="73" customFormat="1" ht="28.8" customHeight="1" x14ac:dyDescent="0.3">
      <c r="A11" s="103"/>
      <c r="B11" s="103"/>
      <c r="C11" s="106"/>
      <c r="D11" s="104"/>
      <c r="E11" s="105"/>
      <c r="F11" s="105"/>
      <c r="G11" s="105"/>
      <c r="H11" s="105"/>
      <c r="I11" s="105"/>
      <c r="J11" s="105"/>
      <c r="K11" s="105"/>
      <c r="L11" s="105"/>
      <c r="M11" s="105"/>
      <c r="N11" s="106"/>
    </row>
    <row r="12" spans="1:14" s="73" customFormat="1" ht="28.8" customHeight="1" x14ac:dyDescent="0.3">
      <c r="A12" s="103"/>
      <c r="B12" s="103"/>
      <c r="C12" s="106"/>
      <c r="D12" s="104"/>
      <c r="E12" s="105"/>
      <c r="F12" s="105"/>
      <c r="G12" s="105"/>
      <c r="H12" s="105"/>
      <c r="I12" s="105"/>
      <c r="J12" s="105"/>
      <c r="K12" s="105"/>
      <c r="L12" s="105"/>
      <c r="M12" s="105"/>
      <c r="N12" s="106"/>
    </row>
    <row r="13" spans="1:14" s="73" customFormat="1" ht="28.8" customHeight="1" x14ac:dyDescent="0.3">
      <c r="A13" s="103"/>
      <c r="B13" s="103"/>
      <c r="C13" s="106"/>
      <c r="D13" s="104"/>
      <c r="E13" s="105"/>
      <c r="F13" s="105"/>
      <c r="G13" s="105"/>
      <c r="H13" s="105"/>
      <c r="I13" s="105"/>
      <c r="J13" s="105"/>
      <c r="K13" s="105"/>
      <c r="L13" s="105"/>
      <c r="M13" s="105"/>
      <c r="N13" s="106"/>
    </row>
    <row r="14" spans="1:14" s="73" customFormat="1" ht="28.8" customHeight="1" x14ac:dyDescent="0.3">
      <c r="A14" s="103"/>
      <c r="B14" s="103"/>
      <c r="C14" s="106"/>
      <c r="D14" s="104"/>
      <c r="E14" s="105"/>
      <c r="F14" s="105"/>
      <c r="G14" s="105"/>
      <c r="H14" s="105"/>
      <c r="I14" s="105"/>
      <c r="J14" s="105"/>
      <c r="K14" s="105"/>
      <c r="L14" s="105"/>
      <c r="M14" s="105"/>
      <c r="N14" s="106"/>
    </row>
    <row r="15" spans="1:14" s="73" customFormat="1" ht="28.8" customHeight="1" x14ac:dyDescent="0.3">
      <c r="A15" s="103"/>
      <c r="B15" s="103"/>
      <c r="C15" s="106"/>
      <c r="D15" s="104"/>
      <c r="E15" s="105"/>
      <c r="F15" s="105"/>
      <c r="G15" s="105"/>
      <c r="H15" s="105"/>
      <c r="I15" s="105"/>
      <c r="J15" s="105"/>
      <c r="K15" s="105"/>
      <c r="L15" s="105"/>
      <c r="M15" s="105"/>
      <c r="N15" s="106"/>
    </row>
    <row r="16" spans="1:14" s="73" customFormat="1" ht="28.8" customHeight="1" x14ac:dyDescent="0.3">
      <c r="A16" s="103"/>
      <c r="B16" s="103"/>
      <c r="C16" s="106"/>
      <c r="D16" s="104"/>
      <c r="E16" s="105"/>
      <c r="F16" s="105"/>
      <c r="G16" s="105"/>
      <c r="H16" s="105"/>
      <c r="I16" s="105"/>
      <c r="J16" s="105"/>
      <c r="K16" s="105"/>
      <c r="L16" s="105"/>
      <c r="M16" s="105"/>
      <c r="N16" s="106"/>
    </row>
    <row r="17" spans="1:14" s="73" customFormat="1" ht="28.8" customHeight="1" x14ac:dyDescent="0.3">
      <c r="A17" s="103"/>
      <c r="B17" s="103"/>
      <c r="C17" s="106"/>
      <c r="D17" s="104"/>
      <c r="E17" s="105"/>
      <c r="F17" s="105"/>
      <c r="G17" s="105"/>
      <c r="H17" s="105"/>
      <c r="I17" s="105"/>
      <c r="J17" s="105"/>
      <c r="K17" s="105"/>
      <c r="L17" s="105"/>
      <c r="M17" s="105"/>
      <c r="N17" s="106"/>
    </row>
    <row r="18" spans="1:14" s="73" customFormat="1" ht="28.8" customHeight="1" x14ac:dyDescent="0.3">
      <c r="A18" s="103"/>
      <c r="B18" s="103"/>
      <c r="C18" s="106"/>
      <c r="D18" s="104"/>
      <c r="E18" s="105"/>
      <c r="F18" s="105"/>
      <c r="G18" s="105"/>
      <c r="H18" s="105"/>
      <c r="I18" s="105"/>
      <c r="J18" s="105"/>
      <c r="K18" s="105"/>
      <c r="L18" s="105"/>
      <c r="M18" s="105"/>
      <c r="N18" s="106"/>
    </row>
    <row r="19" spans="1:14" s="73" customFormat="1" ht="28.8" customHeight="1" x14ac:dyDescent="0.3">
      <c r="A19" s="103"/>
      <c r="B19" s="103"/>
      <c r="C19" s="106"/>
      <c r="D19" s="104"/>
      <c r="E19" s="105"/>
      <c r="F19" s="105"/>
      <c r="G19" s="105"/>
      <c r="H19" s="105"/>
      <c r="I19" s="105"/>
      <c r="J19" s="105"/>
      <c r="K19" s="105"/>
      <c r="L19" s="105"/>
      <c r="M19" s="105"/>
      <c r="N19" s="105"/>
    </row>
    <row r="20" spans="1:14" s="74" customFormat="1" ht="28.8" customHeight="1" x14ac:dyDescent="0.3">
      <c r="A20" s="112"/>
      <c r="B20" s="112"/>
      <c r="C20" s="112"/>
      <c r="D20" s="112"/>
      <c r="E20" s="112"/>
      <c r="F20" s="112"/>
      <c r="G20" s="112"/>
      <c r="H20" s="112"/>
      <c r="I20" s="112"/>
      <c r="J20" s="112"/>
      <c r="K20" s="112"/>
      <c r="L20" s="112"/>
      <c r="M20" s="112"/>
      <c r="N20" s="112"/>
    </row>
    <row r="21" spans="1:14" s="73" customFormat="1" ht="28.8" customHeight="1" x14ac:dyDescent="0.3">
      <c r="A21" s="103"/>
      <c r="B21" s="105"/>
      <c r="C21" s="105"/>
      <c r="D21" s="107"/>
      <c r="E21" s="105"/>
      <c r="F21" s="105"/>
      <c r="G21" s="105"/>
      <c r="H21" s="105"/>
      <c r="I21" s="105"/>
      <c r="J21" s="105"/>
      <c r="K21" s="105"/>
      <c r="L21" s="105"/>
      <c r="M21" s="105"/>
      <c r="N21" s="105"/>
    </row>
    <row r="22" spans="1:14" s="73" customFormat="1" ht="28.8" customHeight="1" x14ac:dyDescent="0.3">
      <c r="A22" s="103"/>
      <c r="B22" s="105"/>
      <c r="C22" s="105"/>
      <c r="D22" s="107"/>
      <c r="E22" s="105"/>
      <c r="F22" s="105"/>
      <c r="G22" s="105"/>
      <c r="H22" s="105"/>
      <c r="I22" s="105"/>
      <c r="J22" s="105"/>
      <c r="K22" s="105"/>
      <c r="L22" s="105"/>
      <c r="M22" s="105"/>
      <c r="N22" s="105"/>
    </row>
    <row r="23" spans="1:14" s="73" customFormat="1" ht="28.8" customHeight="1" x14ac:dyDescent="0.3">
      <c r="A23" s="103"/>
      <c r="B23" s="105"/>
      <c r="C23" s="105"/>
      <c r="D23" s="107"/>
      <c r="E23" s="105"/>
      <c r="F23" s="105"/>
      <c r="G23" s="105"/>
      <c r="H23" s="105"/>
      <c r="I23" s="105"/>
      <c r="J23" s="105"/>
      <c r="K23" s="105"/>
      <c r="L23" s="105"/>
      <c r="M23" s="105"/>
      <c r="N23" s="105"/>
    </row>
    <row r="24" spans="1:14" s="73" customFormat="1" ht="28.8" customHeight="1" x14ac:dyDescent="0.3">
      <c r="A24" s="103"/>
      <c r="B24" s="105"/>
      <c r="C24" s="105"/>
      <c r="D24" s="107"/>
      <c r="E24" s="105"/>
      <c r="F24" s="105"/>
      <c r="G24" s="105"/>
      <c r="H24" s="105"/>
      <c r="I24" s="105"/>
      <c r="J24" s="105"/>
      <c r="K24" s="105"/>
      <c r="L24" s="105"/>
      <c r="M24" s="105"/>
      <c r="N24" s="105"/>
    </row>
    <row r="25" spans="1:14" s="73" customFormat="1" ht="28.8" customHeight="1" x14ac:dyDescent="0.3">
      <c r="A25" s="103"/>
      <c r="B25" s="105"/>
      <c r="C25" s="105"/>
      <c r="D25" s="107"/>
      <c r="E25" s="105"/>
      <c r="F25" s="105"/>
      <c r="G25" s="105"/>
      <c r="H25" s="105"/>
      <c r="I25" s="105"/>
      <c r="J25" s="105"/>
      <c r="K25" s="105"/>
      <c r="L25" s="105"/>
      <c r="M25" s="105"/>
      <c r="N25" s="105"/>
    </row>
    <row r="26" spans="1:14" s="73" customFormat="1" ht="28.8" customHeight="1" x14ac:dyDescent="0.3">
      <c r="A26" s="103"/>
      <c r="B26" s="105"/>
      <c r="C26" s="105"/>
      <c r="D26" s="107"/>
      <c r="E26" s="105"/>
      <c r="F26" s="105"/>
      <c r="G26" s="105"/>
      <c r="H26" s="105"/>
      <c r="I26" s="105"/>
      <c r="J26" s="105"/>
      <c r="K26" s="105"/>
      <c r="L26" s="105"/>
      <c r="M26" s="105"/>
      <c r="N26" s="105"/>
    </row>
    <row r="27" spans="1:14" s="73" customFormat="1" ht="28.8" customHeight="1" x14ac:dyDescent="0.3">
      <c r="A27" s="103"/>
      <c r="B27" s="105"/>
      <c r="C27" s="105"/>
      <c r="D27" s="107"/>
      <c r="E27" s="105"/>
      <c r="F27" s="105"/>
      <c r="G27" s="105"/>
      <c r="H27" s="105"/>
      <c r="I27" s="105"/>
      <c r="J27" s="105"/>
      <c r="K27" s="105"/>
      <c r="L27" s="105"/>
      <c r="M27" s="105"/>
      <c r="N27" s="105"/>
    </row>
    <row r="28" spans="1:14" s="73" customFormat="1" ht="28.8" customHeight="1" x14ac:dyDescent="0.3">
      <c r="A28" s="103"/>
      <c r="B28" s="105"/>
      <c r="C28" s="105"/>
      <c r="D28" s="107"/>
      <c r="E28" s="105"/>
      <c r="F28" s="105"/>
      <c r="G28" s="105"/>
      <c r="H28" s="105"/>
      <c r="I28" s="105"/>
      <c r="J28" s="105"/>
      <c r="K28" s="105"/>
      <c r="L28" s="105"/>
      <c r="M28" s="105"/>
      <c r="N28" s="105"/>
    </row>
    <row r="29" spans="1:14" s="73" customFormat="1" ht="28.8" customHeight="1" x14ac:dyDescent="0.3">
      <c r="A29" s="103"/>
      <c r="B29" s="105"/>
      <c r="C29" s="105"/>
      <c r="D29" s="107"/>
      <c r="E29" s="105"/>
      <c r="F29" s="105"/>
      <c r="G29" s="105"/>
      <c r="H29" s="105"/>
      <c r="I29" s="105"/>
      <c r="J29" s="105"/>
      <c r="K29" s="105"/>
      <c r="L29" s="105"/>
      <c r="M29" s="105"/>
      <c r="N29" s="105"/>
    </row>
    <row r="30" spans="1:14" s="73" customFormat="1" ht="28.8" customHeight="1" x14ac:dyDescent="0.3">
      <c r="A30" s="103"/>
      <c r="B30" s="105"/>
      <c r="C30" s="105"/>
      <c r="D30" s="107"/>
      <c r="E30" s="105"/>
      <c r="F30" s="105"/>
      <c r="G30" s="105"/>
      <c r="H30" s="105"/>
      <c r="I30" s="105"/>
      <c r="J30" s="105"/>
      <c r="K30" s="105"/>
      <c r="L30" s="105"/>
      <c r="M30" s="105"/>
      <c r="N30" s="105"/>
    </row>
    <row r="31" spans="1:14" s="73" customFormat="1" ht="28.8" customHeight="1" x14ac:dyDescent="0.3">
      <c r="A31" s="103"/>
      <c r="B31" s="105"/>
      <c r="C31" s="105"/>
      <c r="D31" s="107"/>
      <c r="E31" s="105"/>
      <c r="F31" s="105"/>
      <c r="G31" s="105"/>
      <c r="H31" s="105"/>
      <c r="I31" s="105"/>
      <c r="J31" s="105"/>
      <c r="K31" s="105"/>
      <c r="L31" s="105"/>
      <c r="M31" s="105"/>
      <c r="N31" s="105"/>
    </row>
    <row r="32" spans="1:14" s="73" customFormat="1" ht="28.8" customHeight="1" x14ac:dyDescent="0.3">
      <c r="A32" s="103"/>
      <c r="B32" s="105"/>
      <c r="C32" s="105"/>
      <c r="D32" s="107"/>
      <c r="E32" s="105"/>
      <c r="F32" s="105"/>
      <c r="G32" s="105"/>
      <c r="H32" s="105"/>
      <c r="I32" s="105"/>
      <c r="J32" s="105"/>
      <c r="K32" s="105"/>
      <c r="L32" s="105"/>
      <c r="M32" s="105"/>
      <c r="N32" s="105"/>
    </row>
    <row r="33" spans="1:20" s="73" customFormat="1" ht="28.8" customHeight="1" x14ac:dyDescent="0.3">
      <c r="A33" s="103"/>
      <c r="B33" s="105"/>
      <c r="C33" s="105"/>
      <c r="D33" s="107"/>
      <c r="E33" s="105"/>
      <c r="F33" s="105"/>
      <c r="G33" s="105"/>
      <c r="H33" s="105"/>
      <c r="I33" s="105"/>
      <c r="J33" s="105"/>
      <c r="K33" s="105"/>
      <c r="L33" s="105"/>
      <c r="M33" s="105"/>
      <c r="N33" s="105"/>
    </row>
    <row r="34" spans="1:20" s="73" customFormat="1" ht="28.8" customHeight="1" x14ac:dyDescent="0.3">
      <c r="A34" s="103"/>
      <c r="B34" s="105"/>
      <c r="C34" s="105"/>
      <c r="D34" s="107"/>
      <c r="E34" s="105"/>
      <c r="F34" s="105"/>
      <c r="G34" s="105"/>
      <c r="H34" s="105"/>
      <c r="I34" s="105"/>
      <c r="J34" s="105"/>
      <c r="K34" s="105"/>
      <c r="L34" s="105"/>
      <c r="M34" s="105"/>
      <c r="N34" s="105"/>
    </row>
    <row r="35" spans="1:20" s="73" customFormat="1" ht="28.8" customHeight="1" x14ac:dyDescent="0.3">
      <c r="A35" s="103"/>
      <c r="B35" s="105"/>
      <c r="C35" s="105"/>
      <c r="D35" s="107"/>
      <c r="E35" s="105"/>
      <c r="F35" s="105"/>
      <c r="G35" s="105"/>
      <c r="H35" s="105"/>
      <c r="I35" s="105"/>
      <c r="J35" s="105"/>
      <c r="K35" s="105"/>
      <c r="L35" s="105"/>
      <c r="M35" s="105"/>
      <c r="N35" s="105"/>
    </row>
    <row r="36" spans="1:20" s="73" customFormat="1" ht="28.8" customHeight="1" x14ac:dyDescent="0.3">
      <c r="A36" s="103"/>
      <c r="B36" s="105"/>
      <c r="C36" s="105"/>
      <c r="D36" s="107"/>
      <c r="E36" s="105"/>
      <c r="F36" s="105"/>
      <c r="G36" s="105"/>
      <c r="H36" s="105"/>
      <c r="I36" s="105"/>
      <c r="J36" s="105"/>
      <c r="K36" s="105"/>
      <c r="L36" s="105"/>
      <c r="M36" s="105"/>
      <c r="N36" s="105"/>
    </row>
    <row r="37" spans="1:20" s="73" customFormat="1" ht="28.8" customHeight="1" x14ac:dyDescent="0.3">
      <c r="A37" s="103"/>
      <c r="B37" s="105"/>
      <c r="C37" s="105"/>
      <c r="D37" s="107"/>
      <c r="E37" s="105"/>
      <c r="F37" s="105"/>
      <c r="G37" s="105"/>
      <c r="H37" s="105"/>
      <c r="I37" s="105"/>
      <c r="J37" s="105"/>
      <c r="K37" s="105"/>
      <c r="L37" s="105"/>
      <c r="M37" s="105"/>
      <c r="N37" s="105"/>
    </row>
    <row r="38" spans="1:20" s="73" customFormat="1" ht="28.8" customHeight="1" x14ac:dyDescent="0.3">
      <c r="A38" s="103"/>
      <c r="B38" s="105"/>
      <c r="C38" s="105"/>
      <c r="D38" s="107"/>
      <c r="E38" s="105"/>
      <c r="F38" s="105"/>
      <c r="G38" s="105"/>
      <c r="H38" s="105"/>
      <c r="I38" s="105"/>
      <c r="J38" s="105"/>
      <c r="K38" s="105"/>
      <c r="L38" s="105"/>
      <c r="M38" s="105"/>
      <c r="N38" s="105"/>
    </row>
    <row r="39" spans="1:20" s="73" customFormat="1" ht="28.8" customHeight="1" x14ac:dyDescent="0.3">
      <c r="A39" s="103"/>
      <c r="B39" s="105"/>
      <c r="C39" s="105"/>
      <c r="D39" s="107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T39" s="73" t="s">
        <v>90</v>
      </c>
    </row>
    <row r="40" spans="1:20" s="73" customFormat="1" ht="28.8" customHeight="1" x14ac:dyDescent="0.3">
      <c r="A40" s="103"/>
      <c r="B40" s="105"/>
      <c r="C40" s="105"/>
      <c r="D40" s="107"/>
      <c r="E40" s="105"/>
      <c r="F40" s="105"/>
      <c r="G40" s="105"/>
      <c r="H40" s="105"/>
      <c r="I40" s="105"/>
      <c r="J40" s="105"/>
      <c r="K40" s="105"/>
      <c r="L40" s="105"/>
      <c r="M40" s="105"/>
      <c r="N40" s="105"/>
    </row>
    <row r="41" spans="1:20" s="73" customFormat="1" ht="28.8" customHeight="1" x14ac:dyDescent="0.3">
      <c r="A41" s="103"/>
      <c r="B41" s="105"/>
      <c r="C41" s="105"/>
      <c r="D41" s="107"/>
      <c r="E41" s="105"/>
      <c r="F41" s="105"/>
      <c r="G41" s="105"/>
      <c r="H41" s="105"/>
      <c r="I41" s="105"/>
      <c r="J41" s="105"/>
      <c r="K41" s="105"/>
      <c r="L41" s="105"/>
      <c r="M41" s="105"/>
      <c r="N41" s="105"/>
    </row>
    <row r="42" spans="1:20" s="73" customFormat="1" ht="28.8" customHeight="1" x14ac:dyDescent="0.3">
      <c r="A42" s="103"/>
      <c r="B42" s="105"/>
      <c r="C42" s="105"/>
      <c r="D42" s="107"/>
      <c r="E42" s="105"/>
      <c r="F42" s="105"/>
      <c r="G42" s="105"/>
      <c r="H42" s="105"/>
      <c r="I42" s="105"/>
      <c r="J42" s="105"/>
      <c r="K42" s="105"/>
      <c r="L42" s="105"/>
      <c r="M42" s="105"/>
      <c r="N42" s="105"/>
    </row>
    <row r="43" spans="1:20" s="73" customFormat="1" ht="28.8" customHeight="1" x14ac:dyDescent="0.3">
      <c r="A43" s="103"/>
      <c r="B43" s="105"/>
      <c r="C43" s="105"/>
      <c r="D43" s="107"/>
      <c r="E43" s="105"/>
      <c r="F43" s="105"/>
      <c r="G43" s="105"/>
      <c r="H43" s="105"/>
      <c r="I43" s="105"/>
      <c r="J43" s="105"/>
      <c r="K43" s="105"/>
      <c r="L43" s="105"/>
      <c r="M43" s="105"/>
      <c r="N43" s="105"/>
    </row>
    <row r="44" spans="1:20" s="73" customFormat="1" ht="28.8" customHeight="1" x14ac:dyDescent="0.3">
      <c r="A44" s="103"/>
      <c r="B44" s="105"/>
      <c r="C44" s="105"/>
      <c r="D44" s="107"/>
      <c r="E44" s="105"/>
      <c r="F44" s="105"/>
      <c r="G44" s="105"/>
      <c r="H44" s="105"/>
      <c r="I44" s="105"/>
      <c r="J44" s="105"/>
      <c r="K44" s="105"/>
      <c r="L44" s="105"/>
      <c r="M44" s="105"/>
      <c r="N44" s="105"/>
    </row>
    <row r="45" spans="1:20" s="73" customFormat="1" ht="28.8" customHeight="1" x14ac:dyDescent="0.3">
      <c r="A45" s="103"/>
      <c r="B45" s="105"/>
      <c r="C45" s="105"/>
      <c r="D45" s="107"/>
      <c r="E45" s="105"/>
      <c r="F45" s="105"/>
      <c r="G45" s="105"/>
      <c r="H45" s="105"/>
      <c r="I45" s="105"/>
      <c r="J45" s="105"/>
      <c r="K45" s="105"/>
      <c r="L45" s="105"/>
      <c r="M45" s="105"/>
      <c r="N45" s="105"/>
    </row>
    <row r="46" spans="1:20" s="73" customFormat="1" ht="28.8" customHeight="1" x14ac:dyDescent="0.3">
      <c r="A46" s="103"/>
      <c r="B46" s="105"/>
      <c r="C46" s="105"/>
      <c r="D46" s="107"/>
      <c r="E46" s="105"/>
      <c r="F46" s="105"/>
      <c r="G46" s="105"/>
      <c r="H46" s="105"/>
      <c r="I46" s="105"/>
      <c r="J46" s="105"/>
      <c r="K46" s="105"/>
      <c r="L46" s="105"/>
      <c r="M46" s="105"/>
      <c r="N46" s="105"/>
    </row>
    <row r="47" spans="1:20" s="73" customFormat="1" ht="28.8" customHeight="1" x14ac:dyDescent="0.3">
      <c r="A47" s="103"/>
      <c r="B47" s="105"/>
      <c r="C47" s="105"/>
      <c r="D47" s="107"/>
      <c r="E47" s="105"/>
      <c r="F47" s="105"/>
      <c r="G47" s="105"/>
      <c r="H47" s="105"/>
      <c r="I47" s="105"/>
      <c r="J47" s="105"/>
      <c r="K47" s="105"/>
      <c r="L47" s="105"/>
      <c r="M47" s="105"/>
      <c r="N47" s="105"/>
    </row>
    <row r="48" spans="1:20" s="73" customFormat="1" ht="28.8" customHeight="1" x14ac:dyDescent="0.3">
      <c r="A48" s="103"/>
      <c r="B48" s="105"/>
      <c r="C48" s="105"/>
      <c r="D48" s="107"/>
      <c r="E48" s="105"/>
      <c r="F48" s="105"/>
      <c r="G48" s="105"/>
      <c r="H48" s="105"/>
      <c r="I48" s="105"/>
      <c r="J48" s="105"/>
      <c r="K48" s="105"/>
      <c r="L48" s="105"/>
      <c r="M48" s="105"/>
      <c r="N48" s="105"/>
    </row>
    <row r="49" spans="1:14" s="73" customFormat="1" ht="28.8" customHeight="1" x14ac:dyDescent="0.3">
      <c r="A49" s="103"/>
      <c r="B49" s="105"/>
      <c r="C49" s="105"/>
      <c r="D49" s="107"/>
      <c r="E49" s="105"/>
      <c r="F49" s="105"/>
      <c r="G49" s="105"/>
      <c r="H49" s="105"/>
      <c r="I49" s="105"/>
      <c r="J49" s="105"/>
      <c r="K49" s="105"/>
      <c r="L49" s="105"/>
      <c r="M49" s="105"/>
      <c r="N49" s="105"/>
    </row>
    <row r="50" spans="1:14" s="73" customFormat="1" ht="28.8" customHeight="1" x14ac:dyDescent="0.3">
      <c r="A50" s="103"/>
      <c r="B50" s="105"/>
      <c r="C50" s="105"/>
      <c r="D50" s="107"/>
      <c r="E50" s="105"/>
      <c r="F50" s="105"/>
      <c r="G50" s="105"/>
      <c r="H50" s="105"/>
      <c r="I50" s="105"/>
      <c r="J50" s="105"/>
      <c r="K50" s="105"/>
      <c r="L50" s="105"/>
      <c r="M50" s="105"/>
      <c r="N50" s="105"/>
    </row>
    <row r="51" spans="1:14" s="73" customFormat="1" ht="28.8" customHeight="1" x14ac:dyDescent="0.3">
      <c r="A51" s="103"/>
      <c r="B51" s="105"/>
      <c r="C51" s="105"/>
      <c r="D51" s="107"/>
      <c r="E51" s="105"/>
      <c r="F51" s="105"/>
      <c r="G51" s="105"/>
      <c r="H51" s="105"/>
      <c r="I51" s="105"/>
      <c r="J51" s="105"/>
      <c r="K51" s="105"/>
      <c r="L51" s="105"/>
      <c r="M51" s="105"/>
      <c r="N51" s="105"/>
    </row>
    <row r="52" spans="1:14" s="73" customFormat="1" ht="28.8" customHeight="1" x14ac:dyDescent="0.3">
      <c r="A52" s="103"/>
      <c r="B52" s="105"/>
      <c r="C52" s="105"/>
      <c r="D52" s="107"/>
      <c r="E52" s="105"/>
      <c r="F52" s="105"/>
      <c r="G52" s="105"/>
      <c r="H52" s="105"/>
      <c r="I52" s="105"/>
      <c r="J52" s="105"/>
      <c r="K52" s="105"/>
      <c r="L52" s="105"/>
      <c r="M52" s="105"/>
      <c r="N52" s="105"/>
    </row>
    <row r="53" spans="1:14" s="73" customFormat="1" ht="28.8" customHeight="1" x14ac:dyDescent="0.3">
      <c r="A53" s="103"/>
      <c r="B53" s="105"/>
      <c r="C53" s="105"/>
      <c r="D53" s="107"/>
      <c r="E53" s="105"/>
      <c r="F53" s="105"/>
      <c r="G53" s="105"/>
      <c r="H53" s="105"/>
      <c r="I53" s="105"/>
      <c r="J53" s="105"/>
      <c r="K53" s="105"/>
      <c r="L53" s="105"/>
      <c r="M53" s="105"/>
      <c r="N53" s="105"/>
    </row>
    <row r="54" spans="1:14" s="73" customFormat="1" ht="28.8" customHeight="1" x14ac:dyDescent="0.3">
      <c r="A54" s="103"/>
      <c r="B54" s="105"/>
      <c r="C54" s="105"/>
      <c r="D54" s="107"/>
      <c r="E54" s="105"/>
      <c r="F54" s="105"/>
      <c r="G54" s="105"/>
      <c r="H54" s="105"/>
      <c r="I54" s="105"/>
      <c r="J54" s="105"/>
      <c r="K54" s="105"/>
      <c r="L54" s="105"/>
      <c r="M54" s="105"/>
      <c r="N54" s="105"/>
    </row>
    <row r="55" spans="1:14" s="73" customFormat="1" ht="28.8" customHeight="1" x14ac:dyDescent="0.3">
      <c r="A55" s="103"/>
      <c r="B55" s="105"/>
      <c r="C55" s="105"/>
      <c r="D55" s="107"/>
      <c r="E55" s="105"/>
      <c r="F55" s="105"/>
      <c r="G55" s="105"/>
      <c r="H55" s="105"/>
      <c r="I55" s="105"/>
      <c r="J55" s="105"/>
      <c r="K55" s="105"/>
      <c r="L55" s="105"/>
      <c r="M55" s="105"/>
      <c r="N55" s="105"/>
    </row>
    <row r="56" spans="1:14" s="73" customFormat="1" ht="28.8" customHeight="1" x14ac:dyDescent="0.3">
      <c r="A56" s="103"/>
      <c r="B56" s="105"/>
      <c r="C56" s="105"/>
      <c r="D56" s="107"/>
      <c r="E56" s="105"/>
      <c r="F56" s="105"/>
      <c r="G56" s="105"/>
      <c r="H56" s="105"/>
      <c r="I56" s="105"/>
      <c r="J56" s="105"/>
      <c r="K56" s="105"/>
      <c r="L56" s="105"/>
      <c r="M56" s="105"/>
      <c r="N56" s="105"/>
    </row>
    <row r="57" spans="1:14" s="73" customFormat="1" ht="28.8" customHeight="1" x14ac:dyDescent="0.3">
      <c r="A57" s="103"/>
      <c r="B57" s="105"/>
      <c r="C57" s="105"/>
      <c r="D57" s="107"/>
      <c r="E57" s="105"/>
      <c r="F57" s="105"/>
      <c r="G57" s="105"/>
      <c r="H57" s="105"/>
      <c r="I57" s="105"/>
      <c r="J57" s="105"/>
      <c r="K57" s="105"/>
      <c r="L57" s="105"/>
      <c r="M57" s="105"/>
      <c r="N57" s="105"/>
    </row>
    <row r="58" spans="1:14" s="73" customFormat="1" ht="28.8" customHeight="1" x14ac:dyDescent="0.3">
      <c r="A58" s="103"/>
      <c r="B58" s="105"/>
      <c r="C58" s="105"/>
      <c r="D58" s="107"/>
      <c r="E58" s="105"/>
      <c r="F58" s="105"/>
      <c r="G58" s="105"/>
      <c r="H58" s="105"/>
      <c r="I58" s="105"/>
      <c r="J58" s="105"/>
      <c r="K58" s="105"/>
      <c r="L58" s="105"/>
      <c r="M58" s="105"/>
      <c r="N58" s="105"/>
    </row>
    <row r="59" spans="1:14" s="73" customFormat="1" ht="28.8" customHeight="1" x14ac:dyDescent="0.3">
      <c r="A59" s="103"/>
      <c r="B59" s="105"/>
      <c r="C59" s="105"/>
      <c r="D59" s="107"/>
      <c r="E59" s="105"/>
      <c r="F59" s="105"/>
      <c r="G59" s="105"/>
      <c r="H59" s="105"/>
      <c r="I59" s="105"/>
      <c r="J59" s="105"/>
      <c r="K59" s="105"/>
      <c r="L59" s="105"/>
      <c r="M59" s="105"/>
      <c r="N59" s="105"/>
    </row>
    <row r="60" spans="1:14" s="73" customFormat="1" ht="28.8" customHeight="1" x14ac:dyDescent="0.3">
      <c r="A60" s="103"/>
      <c r="B60" s="105"/>
      <c r="C60" s="105"/>
      <c r="D60" s="107"/>
      <c r="E60" s="105"/>
      <c r="F60" s="105"/>
      <c r="G60" s="105"/>
      <c r="H60" s="105"/>
      <c r="I60" s="105"/>
      <c r="J60" s="105"/>
      <c r="K60" s="105"/>
      <c r="L60" s="105"/>
      <c r="M60" s="105"/>
      <c r="N60" s="105"/>
    </row>
    <row r="61" spans="1:14" s="73" customFormat="1" ht="28.8" customHeight="1" x14ac:dyDescent="0.3">
      <c r="A61" s="103"/>
      <c r="B61" s="105"/>
      <c r="C61" s="105"/>
      <c r="D61" s="107"/>
      <c r="E61" s="105"/>
      <c r="F61" s="105"/>
      <c r="G61" s="105"/>
      <c r="H61" s="105"/>
      <c r="I61" s="105"/>
      <c r="J61" s="105"/>
      <c r="K61" s="105"/>
      <c r="L61" s="105"/>
      <c r="M61" s="105"/>
      <c r="N61" s="105"/>
    </row>
    <row r="62" spans="1:14" s="73" customFormat="1" ht="28.8" customHeight="1" x14ac:dyDescent="0.3">
      <c r="A62" s="103"/>
      <c r="B62" s="105"/>
      <c r="C62" s="105"/>
      <c r="D62" s="107"/>
      <c r="E62" s="105"/>
      <c r="F62" s="105"/>
      <c r="G62" s="105"/>
      <c r="H62" s="105"/>
      <c r="I62" s="105"/>
      <c r="J62" s="105"/>
      <c r="K62" s="105"/>
      <c r="L62" s="105"/>
      <c r="M62" s="105"/>
      <c r="N62" s="105"/>
    </row>
    <row r="63" spans="1:14" s="73" customFormat="1" ht="28.8" customHeight="1" x14ac:dyDescent="0.3">
      <c r="A63" s="103"/>
      <c r="B63" s="105"/>
      <c r="C63" s="105"/>
      <c r="D63" s="107"/>
      <c r="E63" s="105"/>
      <c r="F63" s="105"/>
      <c r="G63" s="105"/>
      <c r="H63" s="105"/>
      <c r="I63" s="105"/>
      <c r="J63" s="105"/>
      <c r="K63" s="105"/>
      <c r="L63" s="105"/>
      <c r="M63" s="105"/>
      <c r="N63" s="105"/>
    </row>
    <row r="64" spans="1:14" s="73" customFormat="1" ht="28.8" customHeight="1" x14ac:dyDescent="0.3">
      <c r="A64" s="103"/>
      <c r="B64" s="105"/>
      <c r="C64" s="105"/>
      <c r="D64" s="107"/>
      <c r="E64" s="105"/>
      <c r="F64" s="105"/>
      <c r="G64" s="105"/>
      <c r="H64" s="105"/>
      <c r="I64" s="105"/>
      <c r="J64" s="105"/>
      <c r="K64" s="105"/>
      <c r="L64" s="105"/>
      <c r="M64" s="105"/>
      <c r="N64" s="105"/>
    </row>
    <row r="65" spans="1:14" s="73" customFormat="1" ht="28.8" customHeight="1" x14ac:dyDescent="0.3">
      <c r="A65" s="103"/>
      <c r="B65" s="105"/>
      <c r="C65" s="105"/>
      <c r="D65" s="107"/>
      <c r="E65" s="105"/>
      <c r="F65" s="105"/>
      <c r="G65" s="105"/>
      <c r="H65" s="105"/>
      <c r="I65" s="105"/>
      <c r="J65" s="105"/>
      <c r="K65" s="105"/>
      <c r="L65" s="105"/>
      <c r="M65" s="105"/>
      <c r="N65" s="105"/>
    </row>
    <row r="66" spans="1:14" s="73" customFormat="1" ht="28.8" customHeight="1" x14ac:dyDescent="0.3">
      <c r="A66" s="103"/>
      <c r="B66" s="105"/>
      <c r="C66" s="105"/>
      <c r="D66" s="107"/>
      <c r="E66" s="105"/>
      <c r="F66" s="105"/>
      <c r="G66" s="105"/>
      <c r="H66" s="105"/>
      <c r="I66" s="105"/>
      <c r="J66" s="105"/>
      <c r="K66" s="105"/>
      <c r="L66" s="105"/>
      <c r="M66" s="105"/>
      <c r="N66" s="105"/>
    </row>
    <row r="67" spans="1:14" s="73" customFormat="1" ht="28.8" customHeight="1" x14ac:dyDescent="0.3">
      <c r="A67" s="103"/>
      <c r="B67" s="105"/>
      <c r="C67" s="105"/>
      <c r="D67" s="107"/>
      <c r="E67" s="105"/>
      <c r="F67" s="105"/>
      <c r="G67" s="105"/>
      <c r="H67" s="105"/>
      <c r="I67" s="105"/>
      <c r="J67" s="105"/>
      <c r="K67" s="105"/>
      <c r="L67" s="105"/>
      <c r="M67" s="105"/>
      <c r="N67" s="105"/>
    </row>
    <row r="68" spans="1:14" s="73" customFormat="1" ht="28.8" customHeight="1" x14ac:dyDescent="0.3">
      <c r="A68" s="103"/>
      <c r="B68" s="105"/>
      <c r="C68" s="105"/>
      <c r="D68" s="107"/>
      <c r="E68" s="105"/>
      <c r="F68" s="105"/>
      <c r="G68" s="105"/>
      <c r="H68" s="105"/>
      <c r="I68" s="105"/>
      <c r="J68" s="105"/>
      <c r="K68" s="105"/>
      <c r="L68" s="105"/>
      <c r="M68" s="105"/>
      <c r="N68" s="105"/>
    </row>
    <row r="69" spans="1:14" s="73" customFormat="1" ht="28.8" customHeight="1" x14ac:dyDescent="0.3">
      <c r="A69" s="103"/>
      <c r="B69" s="105"/>
      <c r="C69" s="105"/>
      <c r="D69" s="107"/>
      <c r="E69" s="105"/>
      <c r="F69" s="105"/>
      <c r="G69" s="105"/>
      <c r="H69" s="105"/>
      <c r="I69" s="105"/>
      <c r="J69" s="105"/>
      <c r="K69" s="105"/>
      <c r="L69" s="105"/>
      <c r="M69" s="105"/>
      <c r="N69" s="105"/>
    </row>
    <row r="70" spans="1:14" s="73" customFormat="1" ht="28.8" customHeight="1" x14ac:dyDescent="0.3">
      <c r="A70" s="103"/>
      <c r="B70" s="105"/>
      <c r="C70" s="105"/>
      <c r="D70" s="107"/>
      <c r="E70" s="105"/>
      <c r="F70" s="105"/>
      <c r="G70" s="105"/>
      <c r="H70" s="105"/>
      <c r="I70" s="105"/>
      <c r="J70" s="105"/>
      <c r="K70" s="105"/>
      <c r="L70" s="105"/>
      <c r="M70" s="105"/>
      <c r="N70" s="105"/>
    </row>
    <row r="71" spans="1:14" s="73" customFormat="1" ht="28.8" customHeight="1" x14ac:dyDescent="0.3">
      <c r="A71" s="103"/>
      <c r="B71" s="105"/>
      <c r="C71" s="105"/>
      <c r="D71" s="107"/>
      <c r="E71" s="105"/>
      <c r="F71" s="105"/>
      <c r="G71" s="105"/>
      <c r="H71" s="105"/>
      <c r="I71" s="105"/>
      <c r="J71" s="105"/>
      <c r="K71" s="105"/>
      <c r="L71" s="105"/>
      <c r="M71" s="105"/>
      <c r="N71" s="105"/>
    </row>
    <row r="72" spans="1:14" s="73" customFormat="1" ht="28.8" customHeight="1" x14ac:dyDescent="0.3">
      <c r="A72" s="103"/>
      <c r="B72" s="105"/>
      <c r="C72" s="105"/>
      <c r="D72" s="107"/>
      <c r="E72" s="105"/>
      <c r="F72" s="105"/>
      <c r="G72" s="105"/>
      <c r="H72" s="105"/>
      <c r="I72" s="105"/>
      <c r="J72" s="105"/>
      <c r="K72" s="105"/>
      <c r="L72" s="105"/>
      <c r="M72" s="105"/>
      <c r="N72" s="105"/>
    </row>
    <row r="73" spans="1:14" s="73" customFormat="1" ht="28.8" customHeight="1" x14ac:dyDescent="0.3">
      <c r="A73" s="103"/>
      <c r="B73" s="105"/>
      <c r="C73" s="105"/>
      <c r="D73" s="107"/>
      <c r="E73" s="105"/>
      <c r="F73" s="105"/>
      <c r="G73" s="105"/>
      <c r="H73" s="105"/>
      <c r="I73" s="105"/>
      <c r="J73" s="105"/>
      <c r="K73" s="105"/>
      <c r="L73" s="105"/>
      <c r="M73" s="105"/>
      <c r="N73" s="105"/>
    </row>
    <row r="74" spans="1:14" s="73" customFormat="1" ht="28.8" customHeight="1" x14ac:dyDescent="0.3">
      <c r="A74" s="103"/>
      <c r="B74" s="105"/>
      <c r="C74" s="105"/>
      <c r="D74" s="107"/>
      <c r="E74" s="105"/>
      <c r="F74" s="105"/>
      <c r="G74" s="105"/>
      <c r="H74" s="105"/>
      <c r="I74" s="105"/>
      <c r="J74" s="105"/>
      <c r="K74" s="105"/>
      <c r="L74" s="105"/>
      <c r="M74" s="105"/>
      <c r="N74" s="105"/>
    </row>
    <row r="75" spans="1:14" s="73" customFormat="1" ht="28.8" customHeight="1" x14ac:dyDescent="0.3">
      <c r="A75" s="103"/>
      <c r="B75" s="105"/>
      <c r="C75" s="105"/>
      <c r="D75" s="107"/>
      <c r="E75" s="105"/>
      <c r="F75" s="105"/>
      <c r="G75" s="105"/>
      <c r="H75" s="105"/>
      <c r="I75" s="105"/>
      <c r="J75" s="105"/>
      <c r="K75" s="105"/>
      <c r="L75" s="105"/>
      <c r="M75" s="105"/>
      <c r="N75" s="105"/>
    </row>
    <row r="76" spans="1:14" s="73" customFormat="1" ht="28.8" customHeight="1" x14ac:dyDescent="0.3">
      <c r="A76" s="103"/>
      <c r="B76" s="105"/>
      <c r="C76" s="105"/>
      <c r="D76" s="107"/>
      <c r="E76" s="105"/>
      <c r="F76" s="105"/>
      <c r="G76" s="105"/>
      <c r="H76" s="105"/>
      <c r="I76" s="105"/>
      <c r="J76" s="105"/>
      <c r="K76" s="105"/>
      <c r="L76" s="105"/>
      <c r="M76" s="105"/>
      <c r="N76" s="105"/>
    </row>
    <row r="77" spans="1:14" s="73" customFormat="1" ht="28.8" customHeight="1" x14ac:dyDescent="0.3">
      <c r="A77" s="103"/>
      <c r="B77" s="105"/>
      <c r="C77" s="105"/>
      <c r="D77" s="107"/>
      <c r="E77" s="105"/>
      <c r="F77" s="105"/>
      <c r="G77" s="105"/>
      <c r="H77" s="105"/>
      <c r="I77" s="105"/>
      <c r="J77" s="105"/>
      <c r="K77" s="105"/>
      <c r="L77" s="105"/>
      <c r="M77" s="105"/>
      <c r="N77" s="105"/>
    </row>
    <row r="78" spans="1:14" s="73" customFormat="1" ht="28.8" customHeight="1" x14ac:dyDescent="0.3">
      <c r="A78" s="103"/>
      <c r="B78" s="105"/>
      <c r="C78" s="105"/>
      <c r="D78" s="107"/>
      <c r="E78" s="105"/>
      <c r="F78" s="105"/>
      <c r="G78" s="105"/>
      <c r="H78" s="105"/>
      <c r="I78" s="105"/>
      <c r="J78" s="105"/>
      <c r="K78" s="105"/>
      <c r="L78" s="105"/>
      <c r="M78" s="105"/>
      <c r="N78" s="105"/>
    </row>
    <row r="79" spans="1:14" s="73" customFormat="1" ht="28.8" customHeight="1" x14ac:dyDescent="0.3">
      <c r="A79" s="103"/>
      <c r="B79" s="105"/>
      <c r="C79" s="105"/>
      <c r="D79" s="107"/>
      <c r="E79" s="105"/>
      <c r="F79" s="105"/>
      <c r="G79" s="105"/>
      <c r="H79" s="105"/>
      <c r="I79" s="105"/>
      <c r="J79" s="105"/>
      <c r="K79" s="105"/>
      <c r="L79" s="105"/>
      <c r="M79" s="105"/>
      <c r="N79" s="105"/>
    </row>
    <row r="80" spans="1:14" s="73" customFormat="1" ht="28.8" customHeight="1" x14ac:dyDescent="0.3">
      <c r="A80" s="103"/>
      <c r="B80" s="105"/>
      <c r="C80" s="105"/>
      <c r="D80" s="107"/>
      <c r="E80" s="105"/>
      <c r="F80" s="105"/>
      <c r="G80" s="105"/>
      <c r="H80" s="105"/>
      <c r="I80" s="105"/>
      <c r="J80" s="105"/>
      <c r="K80" s="105"/>
      <c r="L80" s="105"/>
      <c r="M80" s="105"/>
      <c r="N80" s="105"/>
    </row>
    <row r="81" spans="1:14" s="73" customFormat="1" ht="28.8" customHeight="1" x14ac:dyDescent="0.3">
      <c r="A81" s="103"/>
      <c r="B81" s="105"/>
      <c r="C81" s="105"/>
      <c r="D81" s="107"/>
      <c r="E81" s="105"/>
      <c r="F81" s="105"/>
      <c r="G81" s="105"/>
      <c r="H81" s="105"/>
      <c r="I81" s="105"/>
      <c r="J81" s="105"/>
      <c r="K81" s="105"/>
      <c r="L81" s="105"/>
      <c r="M81" s="105"/>
      <c r="N81" s="105"/>
    </row>
    <row r="82" spans="1:14" s="73" customFormat="1" ht="28.8" customHeight="1" x14ac:dyDescent="0.3">
      <c r="A82" s="103"/>
      <c r="B82" s="105"/>
      <c r="C82" s="105"/>
      <c r="D82" s="107"/>
      <c r="E82" s="105"/>
      <c r="F82" s="105"/>
      <c r="G82" s="105"/>
      <c r="H82" s="105"/>
      <c r="I82" s="105"/>
      <c r="J82" s="105"/>
      <c r="K82" s="105"/>
      <c r="L82" s="105"/>
      <c r="M82" s="105"/>
      <c r="N82" s="105"/>
    </row>
    <row r="83" spans="1:14" s="73" customFormat="1" ht="28.8" customHeight="1" x14ac:dyDescent="0.3">
      <c r="A83" s="103"/>
      <c r="B83" s="105"/>
      <c r="C83" s="105"/>
      <c r="D83" s="107"/>
      <c r="E83" s="105"/>
      <c r="F83" s="105"/>
      <c r="G83" s="105"/>
      <c r="H83" s="105"/>
      <c r="I83" s="105"/>
      <c r="J83" s="105"/>
      <c r="K83" s="105"/>
      <c r="L83" s="105"/>
      <c r="M83" s="105"/>
      <c r="N83" s="105"/>
    </row>
    <row r="84" spans="1:14" s="73" customFormat="1" ht="28.8" customHeight="1" x14ac:dyDescent="0.3">
      <c r="A84" s="103"/>
      <c r="B84" s="105"/>
      <c r="C84" s="105"/>
      <c r="D84" s="107"/>
      <c r="E84" s="105"/>
      <c r="F84" s="105"/>
      <c r="G84" s="105"/>
      <c r="H84" s="105"/>
      <c r="I84" s="105"/>
      <c r="J84" s="105"/>
      <c r="K84" s="105"/>
      <c r="L84" s="105"/>
      <c r="M84" s="105"/>
      <c r="N84" s="105"/>
    </row>
    <row r="85" spans="1:14" s="73" customFormat="1" ht="28.8" customHeight="1" x14ac:dyDescent="0.3">
      <c r="A85" s="103"/>
      <c r="B85" s="105"/>
      <c r="C85" s="105"/>
      <c r="D85" s="107"/>
      <c r="E85" s="105"/>
      <c r="F85" s="105"/>
      <c r="G85" s="105"/>
      <c r="H85" s="105"/>
      <c r="I85" s="105"/>
      <c r="J85" s="105"/>
      <c r="K85" s="105"/>
      <c r="L85" s="105"/>
      <c r="M85" s="105"/>
      <c r="N85" s="105"/>
    </row>
    <row r="86" spans="1:14" s="73" customFormat="1" ht="28.8" customHeight="1" x14ac:dyDescent="0.3">
      <c r="A86" s="103"/>
      <c r="B86" s="105"/>
      <c r="C86" s="105"/>
      <c r="D86" s="107"/>
      <c r="E86" s="105"/>
      <c r="F86" s="105"/>
      <c r="G86" s="105"/>
      <c r="H86" s="105"/>
      <c r="I86" s="105"/>
      <c r="J86" s="105"/>
      <c r="K86" s="105"/>
      <c r="L86" s="105"/>
      <c r="M86" s="105"/>
      <c r="N86" s="105"/>
    </row>
    <row r="87" spans="1:14" s="73" customFormat="1" ht="28.8" customHeight="1" x14ac:dyDescent="0.3">
      <c r="A87" s="103"/>
      <c r="B87" s="105"/>
      <c r="C87" s="105"/>
      <c r="D87" s="107"/>
      <c r="E87" s="105"/>
      <c r="F87" s="105"/>
      <c r="G87" s="105"/>
      <c r="H87" s="105"/>
      <c r="I87" s="105"/>
      <c r="J87" s="105"/>
      <c r="K87" s="105"/>
      <c r="L87" s="105"/>
      <c r="M87" s="105"/>
      <c r="N87" s="105"/>
    </row>
    <row r="88" spans="1:14" s="73" customFormat="1" ht="28.8" customHeight="1" x14ac:dyDescent="0.3">
      <c r="A88" s="103"/>
      <c r="B88" s="105"/>
      <c r="C88" s="105"/>
      <c r="D88" s="107"/>
      <c r="E88" s="105"/>
      <c r="F88" s="105"/>
      <c r="G88" s="105"/>
      <c r="H88" s="105"/>
      <c r="I88" s="105"/>
      <c r="J88" s="105"/>
      <c r="K88" s="105"/>
      <c r="L88" s="105"/>
      <c r="M88" s="105"/>
      <c r="N88" s="105"/>
    </row>
    <row r="89" spans="1:14" s="73" customFormat="1" ht="28.8" customHeight="1" x14ac:dyDescent="0.3">
      <c r="A89" s="103"/>
      <c r="B89" s="105"/>
      <c r="C89" s="105"/>
      <c r="D89" s="107"/>
      <c r="E89" s="105"/>
      <c r="F89" s="105"/>
      <c r="G89" s="105"/>
      <c r="H89" s="105"/>
      <c r="I89" s="105"/>
      <c r="J89" s="105"/>
      <c r="K89" s="105"/>
      <c r="L89" s="105"/>
      <c r="M89" s="105"/>
      <c r="N89" s="105"/>
    </row>
    <row r="90" spans="1:14" s="73" customFormat="1" ht="28.8" customHeight="1" x14ac:dyDescent="0.3">
      <c r="A90" s="103"/>
      <c r="B90" s="105"/>
      <c r="C90" s="105"/>
      <c r="D90" s="107"/>
      <c r="E90" s="105"/>
      <c r="F90" s="105"/>
      <c r="G90" s="105"/>
      <c r="H90" s="105"/>
      <c r="I90" s="105"/>
      <c r="J90" s="105"/>
      <c r="K90" s="105"/>
      <c r="L90" s="105"/>
      <c r="M90" s="105"/>
      <c r="N90" s="105"/>
    </row>
    <row r="91" spans="1:14" s="73" customFormat="1" ht="28.8" customHeight="1" x14ac:dyDescent="0.3">
      <c r="A91" s="103"/>
      <c r="B91" s="105"/>
      <c r="C91" s="105"/>
      <c r="D91" s="107"/>
      <c r="E91" s="105"/>
      <c r="F91" s="105"/>
      <c r="G91" s="105"/>
      <c r="H91" s="105"/>
      <c r="I91" s="105"/>
      <c r="J91" s="105"/>
      <c r="K91" s="105"/>
      <c r="L91" s="105"/>
      <c r="M91" s="105"/>
      <c r="N91" s="105"/>
    </row>
    <row r="92" spans="1:14" s="73" customFormat="1" ht="28.8" customHeight="1" x14ac:dyDescent="0.3">
      <c r="A92" s="103"/>
      <c r="B92" s="105"/>
      <c r="C92" s="105"/>
      <c r="D92" s="107"/>
      <c r="E92" s="105"/>
      <c r="F92" s="105"/>
      <c r="G92" s="105"/>
      <c r="H92" s="105"/>
      <c r="I92" s="105"/>
      <c r="J92" s="105"/>
      <c r="K92" s="105"/>
      <c r="L92" s="105"/>
      <c r="M92" s="105"/>
      <c r="N92" s="105"/>
    </row>
    <row r="93" spans="1:14" s="73" customFormat="1" ht="28.8" customHeight="1" x14ac:dyDescent="0.3">
      <c r="A93" s="103"/>
      <c r="B93" s="105"/>
      <c r="C93" s="105"/>
      <c r="D93" s="107"/>
      <c r="E93" s="105"/>
      <c r="F93" s="105"/>
      <c r="G93" s="105"/>
      <c r="H93" s="105"/>
      <c r="I93" s="105"/>
      <c r="J93" s="105"/>
      <c r="K93" s="105"/>
      <c r="L93" s="105"/>
      <c r="M93" s="105"/>
      <c r="N93" s="105"/>
    </row>
    <row r="94" spans="1:14" s="73" customFormat="1" ht="28.8" customHeight="1" x14ac:dyDescent="0.3">
      <c r="A94" s="103"/>
      <c r="B94" s="105"/>
      <c r="C94" s="105"/>
      <c r="D94" s="107"/>
      <c r="E94" s="105"/>
      <c r="F94" s="105"/>
      <c r="G94" s="105"/>
      <c r="H94" s="105"/>
      <c r="I94" s="105"/>
      <c r="J94" s="105"/>
      <c r="K94" s="105"/>
      <c r="L94" s="105"/>
      <c r="M94" s="105"/>
      <c r="N94" s="105"/>
    </row>
    <row r="95" spans="1:14" s="73" customFormat="1" ht="28.8" customHeight="1" x14ac:dyDescent="0.3">
      <c r="A95" s="103"/>
      <c r="B95" s="105"/>
      <c r="C95" s="105"/>
      <c r="D95" s="107"/>
      <c r="E95" s="105"/>
      <c r="F95" s="105"/>
      <c r="G95" s="105"/>
      <c r="H95" s="105"/>
      <c r="I95" s="105"/>
      <c r="J95" s="105"/>
      <c r="K95" s="105"/>
      <c r="L95" s="105"/>
      <c r="M95" s="105"/>
      <c r="N95" s="105"/>
    </row>
    <row r="96" spans="1:14" s="73" customFormat="1" ht="28.8" customHeight="1" x14ac:dyDescent="0.3">
      <c r="A96" s="103"/>
      <c r="B96" s="105"/>
      <c r="C96" s="105"/>
      <c r="D96" s="107"/>
      <c r="E96" s="105"/>
      <c r="F96" s="105"/>
      <c r="G96" s="105"/>
      <c r="H96" s="105"/>
      <c r="I96" s="105"/>
      <c r="J96" s="105"/>
      <c r="K96" s="105"/>
      <c r="L96" s="105"/>
      <c r="M96" s="105"/>
      <c r="N96" s="105"/>
    </row>
    <row r="97" spans="1:14" s="73" customFormat="1" ht="28.8" customHeight="1" x14ac:dyDescent="0.3">
      <c r="A97" s="103"/>
      <c r="B97" s="105"/>
      <c r="C97" s="105"/>
      <c r="D97" s="107"/>
      <c r="E97" s="105"/>
      <c r="F97" s="105"/>
      <c r="G97" s="105"/>
      <c r="H97" s="105"/>
      <c r="I97" s="105"/>
      <c r="J97" s="105"/>
      <c r="K97" s="105"/>
      <c r="L97" s="105"/>
      <c r="M97" s="105"/>
      <c r="N97" s="105"/>
    </row>
    <row r="98" spans="1:14" s="73" customFormat="1" ht="28.8" customHeight="1" x14ac:dyDescent="0.3">
      <c r="A98" s="103"/>
      <c r="B98" s="105"/>
      <c r="C98" s="105"/>
      <c r="D98" s="107"/>
      <c r="E98" s="105"/>
      <c r="F98" s="105"/>
      <c r="G98" s="105"/>
      <c r="H98" s="105"/>
      <c r="I98" s="105"/>
      <c r="J98" s="105"/>
      <c r="K98" s="105"/>
      <c r="L98" s="105"/>
      <c r="M98" s="105"/>
      <c r="N98" s="105"/>
    </row>
    <row r="99" spans="1:14" s="73" customFormat="1" ht="28.8" customHeight="1" x14ac:dyDescent="0.3">
      <c r="A99" s="103"/>
      <c r="B99" s="105"/>
      <c r="C99" s="105"/>
      <c r="D99" s="107"/>
      <c r="E99" s="105"/>
      <c r="F99" s="105"/>
      <c r="G99" s="105"/>
      <c r="H99" s="105"/>
      <c r="I99" s="105"/>
      <c r="J99" s="105"/>
      <c r="K99" s="105"/>
      <c r="L99" s="105"/>
      <c r="M99" s="105"/>
      <c r="N99" s="105"/>
    </row>
    <row r="100" spans="1:14" s="73" customFormat="1" ht="28.8" customHeight="1" x14ac:dyDescent="0.3">
      <c r="A100" s="103"/>
      <c r="B100" s="105"/>
      <c r="C100" s="105"/>
      <c r="D100" s="107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</row>
    <row r="101" spans="1:14" s="73" customFormat="1" ht="28.8" customHeight="1" x14ac:dyDescent="0.3">
      <c r="A101" s="103"/>
      <c r="B101" s="105"/>
      <c r="C101" s="105"/>
      <c r="D101" s="107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</row>
    <row r="102" spans="1:14" s="73" customFormat="1" ht="28.8" customHeight="1" x14ac:dyDescent="0.3">
      <c r="A102" s="103"/>
      <c r="B102" s="105"/>
      <c r="C102" s="105"/>
      <c r="D102" s="107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</row>
    <row r="103" spans="1:14" s="73" customFormat="1" ht="28.8" customHeight="1" x14ac:dyDescent="0.3">
      <c r="A103" s="103"/>
      <c r="B103" s="105"/>
      <c r="C103" s="105"/>
      <c r="D103" s="107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</row>
    <row r="104" spans="1:14" s="73" customFormat="1" ht="28.8" customHeight="1" x14ac:dyDescent="0.3">
      <c r="A104" s="103"/>
      <c r="B104" s="105"/>
      <c r="C104" s="105"/>
      <c r="D104" s="107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</row>
    <row r="105" spans="1:14" s="73" customFormat="1" ht="28.8" customHeight="1" x14ac:dyDescent="0.3">
      <c r="A105" s="103"/>
      <c r="B105" s="105"/>
      <c r="C105" s="105"/>
      <c r="D105" s="107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</row>
    <row r="106" spans="1:14" s="73" customFormat="1" ht="28.8" customHeight="1" x14ac:dyDescent="0.3">
      <c r="A106" s="103"/>
      <c r="B106" s="105"/>
      <c r="C106" s="105"/>
      <c r="D106" s="107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</row>
    <row r="107" spans="1:14" s="73" customFormat="1" ht="28.8" customHeight="1" x14ac:dyDescent="0.3">
      <c r="A107" s="103"/>
      <c r="B107" s="105"/>
      <c r="C107" s="105"/>
      <c r="D107" s="107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</row>
    <row r="108" spans="1:14" s="73" customFormat="1" ht="28.8" customHeight="1" x14ac:dyDescent="0.3">
      <c r="A108" s="103"/>
      <c r="B108" s="105"/>
      <c r="C108" s="105"/>
      <c r="D108" s="107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</row>
    <row r="109" spans="1:14" s="73" customFormat="1" ht="28.8" customHeight="1" x14ac:dyDescent="0.3">
      <c r="A109" s="103"/>
      <c r="B109" s="105"/>
      <c r="C109" s="105"/>
      <c r="D109" s="107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</row>
    <row r="110" spans="1:14" s="73" customFormat="1" ht="28.8" customHeight="1" x14ac:dyDescent="0.3">
      <c r="A110" s="103"/>
      <c r="B110" s="105"/>
      <c r="C110" s="105"/>
      <c r="D110" s="107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</row>
    <row r="111" spans="1:14" s="73" customFormat="1" ht="28.8" customHeight="1" x14ac:dyDescent="0.3">
      <c r="A111" s="103"/>
      <c r="B111" s="105"/>
      <c r="C111" s="105"/>
      <c r="D111" s="107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</row>
    <row r="112" spans="1:14" s="73" customFormat="1" ht="28.8" customHeight="1" x14ac:dyDescent="0.3">
      <c r="A112" s="103"/>
      <c r="B112" s="105"/>
      <c r="C112" s="105"/>
      <c r="D112" s="107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</row>
    <row r="113" spans="1:14" s="73" customFormat="1" ht="28.8" customHeight="1" x14ac:dyDescent="0.3">
      <c r="A113" s="103"/>
      <c r="B113" s="105"/>
      <c r="C113" s="105"/>
      <c r="D113" s="107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</row>
    <row r="114" spans="1:14" s="73" customFormat="1" ht="28.8" customHeight="1" x14ac:dyDescent="0.3">
      <c r="A114" s="103"/>
      <c r="B114" s="105"/>
      <c r="C114" s="105"/>
      <c r="D114" s="107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</row>
    <row r="115" spans="1:14" s="73" customFormat="1" ht="28.8" customHeight="1" x14ac:dyDescent="0.3">
      <c r="A115" s="103"/>
      <c r="B115" s="105"/>
      <c r="C115" s="105"/>
      <c r="D115" s="107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</row>
    <row r="116" spans="1:14" s="73" customFormat="1" ht="28.8" customHeight="1" x14ac:dyDescent="0.3">
      <c r="A116" s="103"/>
      <c r="B116" s="105"/>
      <c r="C116" s="105"/>
      <c r="D116" s="107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</row>
    <row r="117" spans="1:14" s="73" customFormat="1" ht="28.8" customHeight="1" x14ac:dyDescent="0.3">
      <c r="A117" s="103"/>
      <c r="B117" s="105"/>
      <c r="C117" s="105"/>
      <c r="D117" s="107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</row>
    <row r="118" spans="1:14" s="73" customFormat="1" ht="28.8" customHeight="1" x14ac:dyDescent="0.3">
      <c r="A118" s="103"/>
      <c r="B118" s="105"/>
      <c r="C118" s="105"/>
      <c r="D118" s="107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</row>
    <row r="119" spans="1:14" s="73" customFormat="1" ht="28.8" customHeight="1" x14ac:dyDescent="0.3">
      <c r="A119" s="103"/>
      <c r="B119" s="105"/>
      <c r="C119" s="105"/>
      <c r="D119" s="107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</row>
    <row r="120" spans="1:14" s="73" customFormat="1" ht="28.8" customHeight="1" x14ac:dyDescent="0.3">
      <c r="A120" s="103"/>
      <c r="B120" s="105"/>
      <c r="C120" s="105"/>
      <c r="D120" s="107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</row>
    <row r="121" spans="1:14" s="73" customFormat="1" ht="28.8" customHeight="1" x14ac:dyDescent="0.3">
      <c r="A121" s="103"/>
      <c r="B121" s="105"/>
      <c r="C121" s="105"/>
      <c r="D121" s="107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</row>
    <row r="122" spans="1:14" s="73" customFormat="1" ht="28.8" customHeight="1" x14ac:dyDescent="0.3">
      <c r="A122" s="103"/>
      <c r="B122" s="105"/>
      <c r="C122" s="105"/>
      <c r="D122" s="107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</row>
    <row r="123" spans="1:14" s="73" customFormat="1" ht="28.8" customHeight="1" x14ac:dyDescent="0.3">
      <c r="A123" s="103"/>
      <c r="B123" s="105"/>
      <c r="C123" s="105"/>
      <c r="D123" s="107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</row>
    <row r="124" spans="1:14" s="73" customFormat="1" ht="28.8" customHeight="1" x14ac:dyDescent="0.3">
      <c r="A124" s="103"/>
      <c r="B124" s="105"/>
      <c r="C124" s="105"/>
      <c r="D124" s="107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</row>
    <row r="125" spans="1:14" s="73" customFormat="1" ht="28.8" customHeight="1" x14ac:dyDescent="0.3">
      <c r="A125" s="103"/>
      <c r="B125" s="105"/>
      <c r="C125" s="105"/>
      <c r="D125" s="107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</row>
    <row r="126" spans="1:14" s="73" customFormat="1" ht="28.8" customHeight="1" x14ac:dyDescent="0.3">
      <c r="A126" s="103"/>
      <c r="B126" s="105"/>
      <c r="C126" s="105"/>
      <c r="D126" s="107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</row>
    <row r="127" spans="1:14" s="73" customFormat="1" ht="28.8" customHeight="1" x14ac:dyDescent="0.3">
      <c r="A127" s="103"/>
      <c r="B127" s="105"/>
      <c r="C127" s="105"/>
      <c r="D127" s="107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</row>
    <row r="128" spans="1:14" s="73" customFormat="1" ht="28.8" customHeight="1" x14ac:dyDescent="0.3">
      <c r="A128" s="103"/>
      <c r="B128" s="105"/>
      <c r="C128" s="105"/>
      <c r="D128" s="107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</row>
    <row r="129" spans="1:14" s="73" customFormat="1" ht="28.8" customHeight="1" x14ac:dyDescent="0.3">
      <c r="A129" s="103"/>
      <c r="B129" s="105"/>
      <c r="C129" s="105"/>
      <c r="D129" s="107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</row>
    <row r="130" spans="1:14" s="73" customFormat="1" ht="28.8" customHeight="1" x14ac:dyDescent="0.3">
      <c r="A130" s="103"/>
      <c r="B130" s="105"/>
      <c r="C130" s="105"/>
      <c r="D130" s="107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</row>
    <row r="131" spans="1:14" s="73" customFormat="1" ht="28.8" customHeight="1" x14ac:dyDescent="0.3">
      <c r="A131" s="103"/>
      <c r="B131" s="105"/>
      <c r="C131" s="105"/>
      <c r="D131" s="107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</row>
    <row r="132" spans="1:14" s="73" customFormat="1" ht="28.8" customHeight="1" x14ac:dyDescent="0.3">
      <c r="A132" s="103"/>
      <c r="B132" s="105"/>
      <c r="C132" s="105"/>
      <c r="D132" s="107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</row>
    <row r="133" spans="1:14" s="73" customFormat="1" ht="28.8" customHeight="1" x14ac:dyDescent="0.3">
      <c r="A133" s="103"/>
      <c r="B133" s="105"/>
      <c r="C133" s="105"/>
      <c r="D133" s="107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</row>
    <row r="134" spans="1:14" s="73" customFormat="1" ht="28.8" customHeight="1" x14ac:dyDescent="0.3">
      <c r="A134" s="103"/>
      <c r="B134" s="105"/>
      <c r="C134" s="105"/>
      <c r="D134" s="107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</row>
    <row r="135" spans="1:14" s="73" customFormat="1" ht="28.8" customHeight="1" x14ac:dyDescent="0.3">
      <c r="A135" s="103"/>
      <c r="B135" s="105"/>
      <c r="C135" s="105"/>
      <c r="D135" s="107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</row>
    <row r="136" spans="1:14" s="73" customFormat="1" ht="28.8" customHeight="1" x14ac:dyDescent="0.3">
      <c r="A136" s="103"/>
      <c r="B136" s="105"/>
      <c r="C136" s="105"/>
      <c r="D136" s="107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</row>
    <row r="137" spans="1:14" s="73" customFormat="1" ht="28.8" customHeight="1" x14ac:dyDescent="0.3">
      <c r="A137" s="103"/>
      <c r="B137" s="105"/>
      <c r="C137" s="105"/>
      <c r="D137" s="107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</row>
    <row r="138" spans="1:14" s="73" customFormat="1" ht="28.8" customHeight="1" x14ac:dyDescent="0.3">
      <c r="A138" s="103"/>
      <c r="B138" s="105"/>
      <c r="C138" s="105"/>
      <c r="D138" s="107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</row>
    <row r="139" spans="1:14" s="73" customFormat="1" ht="28.8" customHeight="1" x14ac:dyDescent="0.3">
      <c r="A139" s="103"/>
      <c r="B139" s="105"/>
      <c r="C139" s="105"/>
      <c r="D139" s="107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</row>
    <row r="140" spans="1:14" s="73" customFormat="1" ht="28.8" customHeight="1" x14ac:dyDescent="0.3">
      <c r="A140" s="103"/>
      <c r="B140" s="105"/>
      <c r="C140" s="105"/>
      <c r="D140" s="107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</row>
    <row r="141" spans="1:14" s="73" customFormat="1" ht="28.8" customHeight="1" x14ac:dyDescent="0.3">
      <c r="A141" s="103"/>
      <c r="B141" s="105"/>
      <c r="C141" s="105"/>
      <c r="D141" s="107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</row>
    <row r="142" spans="1:14" s="73" customFormat="1" ht="28.8" customHeight="1" x14ac:dyDescent="0.3">
      <c r="A142" s="103"/>
      <c r="B142" s="105"/>
      <c r="C142" s="105"/>
      <c r="D142" s="107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</row>
    <row r="143" spans="1:14" s="73" customFormat="1" ht="28.8" customHeight="1" x14ac:dyDescent="0.3">
      <c r="A143" s="103"/>
      <c r="B143" s="105"/>
      <c r="C143" s="105"/>
      <c r="D143" s="107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</row>
    <row r="144" spans="1:14" s="73" customFormat="1" ht="28.8" customHeight="1" x14ac:dyDescent="0.3">
      <c r="A144" s="103"/>
      <c r="B144" s="105"/>
      <c r="C144" s="105"/>
      <c r="D144" s="107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</row>
    <row r="145" spans="1:14" s="73" customFormat="1" ht="28.8" customHeight="1" x14ac:dyDescent="0.3">
      <c r="A145" s="103"/>
      <c r="B145" s="105"/>
      <c r="C145" s="105"/>
      <c r="D145" s="107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</row>
    <row r="146" spans="1:14" s="73" customFormat="1" ht="28.8" customHeight="1" x14ac:dyDescent="0.3">
      <c r="A146" s="103"/>
      <c r="B146" s="105"/>
      <c r="C146" s="105"/>
      <c r="D146" s="107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</row>
    <row r="147" spans="1:14" s="73" customFormat="1" ht="28.8" customHeight="1" x14ac:dyDescent="0.3">
      <c r="A147" s="103"/>
      <c r="B147" s="105"/>
      <c r="C147" s="105"/>
      <c r="D147" s="107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</row>
    <row r="148" spans="1:14" s="73" customFormat="1" ht="28.8" customHeight="1" x14ac:dyDescent="0.3">
      <c r="A148" s="103"/>
      <c r="B148" s="105"/>
      <c r="C148" s="105"/>
      <c r="D148" s="107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</row>
    <row r="149" spans="1:14" s="73" customFormat="1" ht="28.8" customHeight="1" x14ac:dyDescent="0.3">
      <c r="A149" s="103"/>
      <c r="B149" s="105"/>
      <c r="C149" s="105"/>
      <c r="D149" s="107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</row>
    <row r="150" spans="1:14" s="73" customFormat="1" ht="28.8" customHeight="1" x14ac:dyDescent="0.3">
      <c r="A150" s="103"/>
      <c r="B150" s="105"/>
      <c r="C150" s="105"/>
      <c r="D150" s="107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</row>
    <row r="151" spans="1:14" s="73" customFormat="1" ht="28.8" customHeight="1" x14ac:dyDescent="0.3">
      <c r="A151" s="103"/>
      <c r="B151" s="105"/>
      <c r="C151" s="105"/>
      <c r="D151" s="107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</row>
    <row r="152" spans="1:14" s="73" customFormat="1" ht="28.8" customHeight="1" x14ac:dyDescent="0.3">
      <c r="A152" s="103"/>
      <c r="B152" s="105"/>
      <c r="C152" s="105"/>
      <c r="D152" s="107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</row>
    <row r="153" spans="1:14" s="73" customFormat="1" ht="28.8" customHeight="1" x14ac:dyDescent="0.3">
      <c r="A153" s="103"/>
      <c r="B153" s="105"/>
      <c r="C153" s="105"/>
      <c r="D153" s="107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</row>
    <row r="154" spans="1:14" s="73" customFormat="1" ht="28.8" customHeight="1" x14ac:dyDescent="0.3">
      <c r="A154" s="103"/>
      <c r="B154" s="105"/>
      <c r="C154" s="105"/>
      <c r="D154" s="107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</row>
    <row r="155" spans="1:14" s="73" customFormat="1" ht="28.8" customHeight="1" x14ac:dyDescent="0.3">
      <c r="A155" s="103"/>
      <c r="B155" s="105"/>
      <c r="C155" s="105"/>
      <c r="D155" s="107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</row>
    <row r="156" spans="1:14" s="73" customFormat="1" ht="28.8" customHeight="1" x14ac:dyDescent="0.3">
      <c r="A156" s="103"/>
      <c r="B156" s="105"/>
      <c r="C156" s="105"/>
      <c r="D156" s="107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</row>
    <row r="157" spans="1:14" s="73" customFormat="1" ht="28.8" customHeight="1" x14ac:dyDescent="0.3">
      <c r="A157" s="103"/>
      <c r="B157" s="105"/>
      <c r="C157" s="105"/>
      <c r="D157" s="107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</row>
    <row r="158" spans="1:14" s="73" customFormat="1" ht="28.8" customHeight="1" x14ac:dyDescent="0.3">
      <c r="A158" s="103"/>
      <c r="B158" s="105"/>
      <c r="C158" s="105"/>
      <c r="D158" s="107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</row>
    <row r="159" spans="1:14" s="73" customFormat="1" ht="28.8" customHeight="1" x14ac:dyDescent="0.3">
      <c r="A159" s="103"/>
      <c r="B159" s="105"/>
      <c r="C159" s="105"/>
      <c r="D159" s="107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</row>
    <row r="160" spans="1:14" s="73" customFormat="1" ht="28.8" customHeight="1" x14ac:dyDescent="0.3">
      <c r="A160" s="103"/>
      <c r="B160" s="105"/>
      <c r="C160" s="105"/>
      <c r="D160" s="107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</row>
    <row r="161" spans="1:14" s="73" customFormat="1" ht="28.8" customHeight="1" x14ac:dyDescent="0.3">
      <c r="A161" s="103"/>
      <c r="B161" s="105"/>
      <c r="C161" s="105"/>
      <c r="D161" s="107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</row>
    <row r="162" spans="1:14" s="73" customFormat="1" ht="28.8" customHeight="1" x14ac:dyDescent="0.3">
      <c r="A162" s="103"/>
      <c r="B162" s="105"/>
      <c r="C162" s="105"/>
      <c r="D162" s="107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</row>
    <row r="163" spans="1:14" s="73" customFormat="1" ht="28.8" customHeight="1" x14ac:dyDescent="0.3">
      <c r="A163" s="103"/>
      <c r="B163" s="105"/>
      <c r="C163" s="105"/>
      <c r="D163" s="107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</row>
    <row r="164" spans="1:14" s="73" customFormat="1" ht="28.8" customHeight="1" x14ac:dyDescent="0.3">
      <c r="A164" s="103"/>
      <c r="B164" s="105"/>
      <c r="C164" s="105"/>
      <c r="D164" s="107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</row>
    <row r="165" spans="1:14" s="73" customFormat="1" ht="28.8" customHeight="1" x14ac:dyDescent="0.3">
      <c r="A165" s="103"/>
      <c r="B165" s="105"/>
      <c r="C165" s="105"/>
      <c r="D165" s="107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</row>
    <row r="166" spans="1:14" s="73" customFormat="1" ht="28.8" customHeight="1" x14ac:dyDescent="0.3">
      <c r="A166" s="103"/>
      <c r="B166" s="105"/>
      <c r="C166" s="105"/>
      <c r="D166" s="107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</row>
    <row r="167" spans="1:14" s="73" customFormat="1" ht="28.8" customHeight="1" x14ac:dyDescent="0.3">
      <c r="A167" s="103"/>
      <c r="B167" s="105"/>
      <c r="C167" s="105"/>
      <c r="D167" s="107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</row>
    <row r="168" spans="1:14" s="73" customFormat="1" ht="28.8" customHeight="1" x14ac:dyDescent="0.3">
      <c r="A168" s="103"/>
      <c r="B168" s="105"/>
      <c r="C168" s="105"/>
      <c r="D168" s="107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</row>
    <row r="169" spans="1:14" s="73" customFormat="1" ht="28.8" customHeight="1" x14ac:dyDescent="0.3">
      <c r="A169" s="103"/>
      <c r="B169" s="105"/>
      <c r="C169" s="105"/>
      <c r="D169" s="107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</row>
    <row r="170" spans="1:14" s="73" customFormat="1" ht="28.8" customHeight="1" x14ac:dyDescent="0.3">
      <c r="A170" s="103"/>
      <c r="B170" s="105"/>
      <c r="C170" s="105"/>
      <c r="D170" s="107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</row>
    <row r="171" spans="1:14" s="73" customFormat="1" ht="28.8" customHeight="1" x14ac:dyDescent="0.3">
      <c r="A171" s="103"/>
      <c r="B171" s="105"/>
      <c r="C171" s="105"/>
      <c r="D171" s="107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</row>
    <row r="172" spans="1:14" s="73" customFormat="1" ht="28.8" customHeight="1" x14ac:dyDescent="0.3">
      <c r="A172" s="103"/>
      <c r="B172" s="105"/>
      <c r="C172" s="105"/>
      <c r="D172" s="107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</row>
    <row r="173" spans="1:14" s="73" customFormat="1" ht="28.8" customHeight="1" x14ac:dyDescent="0.3">
      <c r="A173" s="103"/>
      <c r="B173" s="105"/>
      <c r="C173" s="105"/>
      <c r="D173" s="107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</row>
    <row r="174" spans="1:14" s="73" customFormat="1" ht="28.8" customHeight="1" x14ac:dyDescent="0.3">
      <c r="A174" s="103"/>
      <c r="B174" s="105"/>
      <c r="C174" s="105"/>
      <c r="D174" s="107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</row>
    <row r="175" spans="1:14" s="73" customFormat="1" ht="28.8" customHeight="1" x14ac:dyDescent="0.3">
      <c r="A175" s="103"/>
      <c r="B175" s="105"/>
      <c r="C175" s="105"/>
      <c r="D175" s="107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</row>
    <row r="176" spans="1:14" s="73" customFormat="1" ht="28.8" customHeight="1" x14ac:dyDescent="0.3">
      <c r="A176" s="103"/>
      <c r="B176" s="105"/>
      <c r="C176" s="105"/>
      <c r="D176" s="107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</row>
    <row r="177" spans="1:14" s="73" customFormat="1" ht="28.8" customHeight="1" x14ac:dyDescent="0.3">
      <c r="A177" s="103"/>
      <c r="B177" s="105"/>
      <c r="C177" s="105"/>
      <c r="D177" s="107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</row>
    <row r="178" spans="1:14" s="73" customFormat="1" ht="28.8" customHeight="1" x14ac:dyDescent="0.3">
      <c r="A178" s="103"/>
      <c r="B178" s="105"/>
      <c r="C178" s="105"/>
      <c r="D178" s="107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</row>
    <row r="179" spans="1:14" s="73" customFormat="1" ht="28.8" customHeight="1" x14ac:dyDescent="0.3">
      <c r="A179" s="103"/>
      <c r="B179" s="105"/>
      <c r="C179" s="105"/>
      <c r="D179" s="107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</row>
    <row r="180" spans="1:14" s="73" customFormat="1" ht="28.8" customHeight="1" x14ac:dyDescent="0.3">
      <c r="A180" s="103"/>
      <c r="B180" s="105"/>
      <c r="C180" s="105"/>
      <c r="D180" s="107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</row>
    <row r="181" spans="1:14" s="73" customFormat="1" ht="28.8" customHeight="1" x14ac:dyDescent="0.3">
      <c r="A181" s="103"/>
      <c r="B181" s="105"/>
      <c r="C181" s="105"/>
      <c r="D181" s="107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</row>
    <row r="182" spans="1:14" s="73" customFormat="1" ht="28.8" customHeight="1" x14ac:dyDescent="0.3">
      <c r="A182" s="103"/>
      <c r="B182" s="105"/>
      <c r="C182" s="105"/>
      <c r="D182" s="107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</row>
    <row r="183" spans="1:14" s="73" customFormat="1" ht="28.8" customHeight="1" x14ac:dyDescent="0.3">
      <c r="A183" s="103"/>
      <c r="B183" s="105"/>
      <c r="C183" s="105"/>
      <c r="D183" s="107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</row>
    <row r="184" spans="1:14" s="73" customFormat="1" ht="28.8" customHeight="1" x14ac:dyDescent="0.3">
      <c r="A184" s="103"/>
      <c r="B184" s="105"/>
      <c r="C184" s="105"/>
      <c r="D184" s="107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</row>
    <row r="185" spans="1:14" s="73" customFormat="1" ht="28.8" customHeight="1" x14ac:dyDescent="0.3">
      <c r="A185" s="103"/>
      <c r="B185" s="105"/>
      <c r="C185" s="105"/>
      <c r="D185" s="107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</row>
    <row r="186" spans="1:14" s="73" customFormat="1" ht="28.8" customHeight="1" x14ac:dyDescent="0.3">
      <c r="A186" s="103"/>
      <c r="B186" s="105"/>
      <c r="C186" s="105"/>
      <c r="D186" s="107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</row>
    <row r="187" spans="1:14" s="73" customFormat="1" ht="28.8" customHeight="1" x14ac:dyDescent="0.3">
      <c r="A187" s="103"/>
      <c r="B187" s="105"/>
      <c r="C187" s="105"/>
      <c r="D187" s="107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</row>
    <row r="188" spans="1:14" s="73" customFormat="1" ht="28.8" customHeight="1" x14ac:dyDescent="0.3">
      <c r="A188" s="103"/>
      <c r="B188" s="105"/>
      <c r="C188" s="105"/>
      <c r="D188" s="107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</row>
    <row r="189" spans="1:14" s="73" customFormat="1" ht="28.8" customHeight="1" x14ac:dyDescent="0.3">
      <c r="A189" s="103"/>
      <c r="B189" s="105"/>
      <c r="C189" s="105"/>
      <c r="D189" s="107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</row>
    <row r="190" spans="1:14" s="73" customFormat="1" ht="28.8" customHeight="1" x14ac:dyDescent="0.3">
      <c r="A190" s="103"/>
      <c r="B190" s="105"/>
      <c r="C190" s="105"/>
      <c r="D190" s="107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</row>
    <row r="191" spans="1:14" s="73" customFormat="1" ht="28.8" customHeight="1" x14ac:dyDescent="0.3">
      <c r="A191" s="103"/>
      <c r="B191" s="105"/>
      <c r="C191" s="105"/>
      <c r="D191" s="107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</row>
    <row r="192" spans="1:14" s="73" customFormat="1" ht="28.8" customHeight="1" x14ac:dyDescent="0.3">
      <c r="A192" s="103"/>
      <c r="B192" s="105"/>
      <c r="C192" s="105"/>
      <c r="D192" s="107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</row>
    <row r="193" spans="1:14" s="74" customFormat="1" ht="28.8" customHeight="1" x14ac:dyDescent="0.3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</row>
    <row r="194" spans="1:14" s="73" customFormat="1" ht="28.8" customHeight="1" x14ac:dyDescent="0.3">
      <c r="A194" s="103"/>
      <c r="B194" s="105"/>
      <c r="C194" s="105"/>
      <c r="D194" s="107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</row>
    <row r="195" spans="1:14" s="73" customFormat="1" ht="28.8" customHeight="1" x14ac:dyDescent="0.3">
      <c r="A195" s="103"/>
      <c r="B195" s="105"/>
      <c r="C195" s="105"/>
      <c r="D195" s="107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</row>
    <row r="196" spans="1:14" s="73" customFormat="1" ht="28.8" customHeight="1" x14ac:dyDescent="0.3">
      <c r="A196" s="103"/>
      <c r="B196" s="105"/>
      <c r="C196" s="105"/>
      <c r="D196" s="107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</row>
    <row r="197" spans="1:14" s="73" customFormat="1" ht="28.8" customHeight="1" x14ac:dyDescent="0.3">
      <c r="A197" s="103"/>
      <c r="B197" s="105"/>
      <c r="C197" s="105"/>
      <c r="D197" s="107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</row>
    <row r="198" spans="1:14" s="73" customFormat="1" ht="28.8" customHeight="1" x14ac:dyDescent="0.3">
      <c r="A198" s="103"/>
      <c r="B198" s="105"/>
      <c r="C198" s="105"/>
      <c r="D198" s="107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</row>
    <row r="199" spans="1:14" s="73" customFormat="1" ht="28.8" customHeight="1" x14ac:dyDescent="0.3">
      <c r="A199" s="103"/>
      <c r="B199" s="105"/>
      <c r="C199" s="105"/>
      <c r="D199" s="107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</row>
    <row r="200" spans="1:14" s="73" customFormat="1" ht="28.8" customHeight="1" x14ac:dyDescent="0.3">
      <c r="A200" s="103"/>
      <c r="B200" s="105"/>
      <c r="C200" s="105"/>
      <c r="D200" s="107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</row>
    <row r="201" spans="1:14" s="73" customFormat="1" ht="28.8" customHeight="1" x14ac:dyDescent="0.3">
      <c r="A201" s="103"/>
      <c r="B201" s="105"/>
      <c r="C201" s="105"/>
      <c r="D201" s="107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</row>
    <row r="202" spans="1:14" s="73" customFormat="1" ht="28.8" customHeight="1" x14ac:dyDescent="0.3">
      <c r="A202" s="103"/>
      <c r="B202" s="105"/>
      <c r="C202" s="105"/>
      <c r="D202" s="107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</row>
    <row r="203" spans="1:14" s="73" customFormat="1" ht="28.8" customHeight="1" x14ac:dyDescent="0.3">
      <c r="A203" s="103"/>
      <c r="B203" s="105"/>
      <c r="C203" s="105"/>
      <c r="D203" s="107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</row>
    <row r="204" spans="1:14" s="73" customFormat="1" ht="28.8" customHeight="1" x14ac:dyDescent="0.3">
      <c r="A204" s="103"/>
      <c r="B204" s="105"/>
      <c r="C204" s="105"/>
      <c r="D204" s="107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</row>
    <row r="205" spans="1:14" s="73" customFormat="1" ht="28.8" customHeight="1" x14ac:dyDescent="0.3">
      <c r="A205" s="103"/>
      <c r="B205" s="105"/>
      <c r="C205" s="105"/>
      <c r="D205" s="107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</row>
    <row r="206" spans="1:14" s="73" customFormat="1" ht="28.8" customHeight="1" x14ac:dyDescent="0.3">
      <c r="A206" s="103"/>
      <c r="B206" s="105"/>
      <c r="C206" s="105"/>
      <c r="D206" s="107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</row>
    <row r="207" spans="1:14" s="73" customFormat="1" ht="28.8" customHeight="1" x14ac:dyDescent="0.3">
      <c r="A207" s="103"/>
      <c r="B207" s="105"/>
      <c r="C207" s="105"/>
      <c r="D207" s="107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</row>
    <row r="208" spans="1:14" s="73" customFormat="1" ht="28.8" customHeight="1" x14ac:dyDescent="0.3">
      <c r="A208" s="103"/>
      <c r="B208" s="105"/>
      <c r="C208" s="105"/>
      <c r="D208" s="107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</row>
    <row r="209" spans="1:14" s="73" customFormat="1" ht="28.8" customHeight="1" x14ac:dyDescent="0.3">
      <c r="A209" s="103"/>
      <c r="B209" s="105"/>
      <c r="C209" s="105"/>
      <c r="D209" s="107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</row>
    <row r="210" spans="1:14" s="73" customFormat="1" ht="28.8" customHeight="1" x14ac:dyDescent="0.3">
      <c r="A210" s="103"/>
      <c r="B210" s="105"/>
      <c r="C210" s="105"/>
      <c r="D210" s="107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</row>
    <row r="211" spans="1:14" s="73" customFormat="1" ht="28.8" customHeight="1" x14ac:dyDescent="0.3">
      <c r="A211" s="103"/>
      <c r="B211" s="105"/>
      <c r="C211" s="105"/>
      <c r="D211" s="107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</row>
    <row r="212" spans="1:14" s="73" customFormat="1" ht="28.8" customHeight="1" x14ac:dyDescent="0.3">
      <c r="A212" s="103"/>
      <c r="B212" s="105"/>
      <c r="C212" s="105"/>
      <c r="D212" s="107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</row>
    <row r="213" spans="1:14" s="73" customFormat="1" ht="28.8" customHeight="1" x14ac:dyDescent="0.3">
      <c r="A213" s="103"/>
      <c r="B213" s="105"/>
      <c r="C213" s="105"/>
      <c r="D213" s="107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</row>
    <row r="214" spans="1:14" s="73" customFormat="1" ht="28.8" customHeight="1" x14ac:dyDescent="0.3">
      <c r="A214" s="103"/>
      <c r="B214" s="105"/>
      <c r="C214" s="105"/>
      <c r="D214" s="107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</row>
    <row r="215" spans="1:14" s="73" customFormat="1" ht="28.8" customHeight="1" x14ac:dyDescent="0.3">
      <c r="A215" s="103"/>
      <c r="B215" s="105"/>
      <c r="C215" s="105"/>
      <c r="D215" s="107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</row>
    <row r="216" spans="1:14" s="73" customFormat="1" ht="28.8" customHeight="1" x14ac:dyDescent="0.3">
      <c r="A216" s="103"/>
      <c r="B216" s="105"/>
      <c r="C216" s="105"/>
      <c r="D216" s="107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</row>
    <row r="217" spans="1:14" s="73" customFormat="1" ht="28.8" customHeight="1" x14ac:dyDescent="0.3">
      <c r="A217" s="103"/>
      <c r="B217" s="105"/>
      <c r="C217" s="105"/>
      <c r="D217" s="107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</row>
    <row r="218" spans="1:14" s="73" customFormat="1" ht="28.8" customHeight="1" x14ac:dyDescent="0.3">
      <c r="A218" s="103"/>
      <c r="B218" s="105"/>
      <c r="C218" s="105"/>
      <c r="D218" s="107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</row>
    <row r="219" spans="1:14" s="73" customFormat="1" ht="28.8" customHeight="1" x14ac:dyDescent="0.3">
      <c r="A219" s="103"/>
      <c r="B219" s="105"/>
      <c r="C219" s="105"/>
      <c r="D219" s="107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</row>
    <row r="220" spans="1:14" s="73" customFormat="1" ht="28.8" customHeight="1" x14ac:dyDescent="0.3">
      <c r="A220" s="103"/>
      <c r="B220" s="105"/>
      <c r="C220" s="105"/>
      <c r="D220" s="107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</row>
    <row r="221" spans="1:14" s="73" customFormat="1" ht="28.8" customHeight="1" x14ac:dyDescent="0.3">
      <c r="A221" s="103"/>
      <c r="B221" s="105"/>
      <c r="C221" s="105"/>
      <c r="D221" s="107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</row>
    <row r="222" spans="1:14" s="73" customFormat="1" ht="28.8" customHeight="1" x14ac:dyDescent="0.3">
      <c r="A222" s="103"/>
      <c r="B222" s="105"/>
      <c r="C222" s="105"/>
      <c r="D222" s="107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</row>
    <row r="223" spans="1:14" s="73" customFormat="1" ht="28.8" customHeight="1" x14ac:dyDescent="0.3">
      <c r="A223" s="103"/>
      <c r="B223" s="105"/>
      <c r="C223" s="105"/>
      <c r="D223" s="107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</row>
    <row r="224" spans="1:14" s="73" customFormat="1" ht="28.8" customHeight="1" x14ac:dyDescent="0.3">
      <c r="A224" s="103"/>
      <c r="B224" s="105"/>
      <c r="C224" s="105"/>
      <c r="D224" s="107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</row>
    <row r="225" spans="1:14" s="73" customFormat="1" ht="28.8" customHeight="1" x14ac:dyDescent="0.3">
      <c r="A225" s="103"/>
      <c r="B225" s="105"/>
      <c r="C225" s="105"/>
      <c r="D225" s="107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</row>
    <row r="226" spans="1:14" s="73" customFormat="1" ht="28.8" customHeight="1" x14ac:dyDescent="0.3">
      <c r="A226" s="103"/>
      <c r="B226" s="105"/>
      <c r="C226" s="105"/>
      <c r="D226" s="107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</row>
    <row r="227" spans="1:14" s="73" customFormat="1" ht="28.8" customHeight="1" x14ac:dyDescent="0.3">
      <c r="A227" s="103"/>
      <c r="B227" s="105"/>
      <c r="C227" s="105"/>
      <c r="D227" s="107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</row>
    <row r="228" spans="1:14" s="73" customFormat="1" ht="28.8" customHeight="1" x14ac:dyDescent="0.3">
      <c r="A228" s="103"/>
      <c r="B228" s="105"/>
      <c r="C228" s="105"/>
      <c r="D228" s="107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</row>
    <row r="229" spans="1:14" s="73" customFormat="1" ht="28.8" customHeight="1" x14ac:dyDescent="0.3">
      <c r="A229" s="103"/>
      <c r="B229" s="105"/>
      <c r="C229" s="105"/>
      <c r="D229" s="107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</row>
    <row r="230" spans="1:14" s="73" customFormat="1" ht="28.8" customHeight="1" x14ac:dyDescent="0.3">
      <c r="A230" s="103"/>
      <c r="B230" s="105"/>
      <c r="C230" s="105"/>
      <c r="D230" s="107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</row>
    <row r="231" spans="1:14" s="73" customFormat="1" ht="28.8" customHeight="1" x14ac:dyDescent="0.3">
      <c r="A231" s="103"/>
      <c r="B231" s="105"/>
      <c r="C231" s="105"/>
      <c r="D231" s="107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</row>
    <row r="232" spans="1:14" s="73" customFormat="1" ht="28.8" customHeight="1" x14ac:dyDescent="0.3">
      <c r="A232" s="103"/>
      <c r="B232" s="105"/>
      <c r="C232" s="105"/>
      <c r="D232" s="107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</row>
    <row r="233" spans="1:14" s="73" customFormat="1" ht="28.8" customHeight="1" x14ac:dyDescent="0.3">
      <c r="A233" s="103"/>
      <c r="B233" s="105"/>
      <c r="C233" s="105"/>
      <c r="D233" s="107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</row>
    <row r="234" spans="1:14" s="73" customFormat="1" ht="28.8" customHeight="1" x14ac:dyDescent="0.3">
      <c r="A234" s="103"/>
      <c r="B234" s="105"/>
      <c r="C234" s="105"/>
      <c r="D234" s="107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</row>
    <row r="235" spans="1:14" s="73" customFormat="1" ht="28.8" customHeight="1" x14ac:dyDescent="0.3">
      <c r="A235" s="103"/>
      <c r="B235" s="105"/>
      <c r="C235" s="105"/>
      <c r="D235" s="107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</row>
    <row r="236" spans="1:14" s="73" customFormat="1" ht="28.8" customHeight="1" x14ac:dyDescent="0.3">
      <c r="A236" s="103"/>
      <c r="B236" s="105"/>
      <c r="C236" s="105"/>
      <c r="D236" s="107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</row>
    <row r="237" spans="1:14" s="73" customFormat="1" ht="28.8" customHeight="1" x14ac:dyDescent="0.3">
      <c r="A237" s="103"/>
      <c r="B237" s="105"/>
      <c r="C237" s="105"/>
      <c r="D237" s="107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</row>
    <row r="238" spans="1:14" s="73" customFormat="1" ht="28.8" customHeight="1" x14ac:dyDescent="0.3">
      <c r="A238" s="103"/>
      <c r="B238" s="105"/>
      <c r="C238" s="105"/>
      <c r="D238" s="107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</row>
    <row r="239" spans="1:14" s="73" customFormat="1" ht="28.8" customHeight="1" x14ac:dyDescent="0.3">
      <c r="A239" s="103"/>
      <c r="B239" s="105"/>
      <c r="C239" s="105"/>
      <c r="D239" s="107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</row>
    <row r="240" spans="1:14" s="73" customFormat="1" ht="28.8" customHeight="1" x14ac:dyDescent="0.3">
      <c r="A240" s="103"/>
      <c r="B240" s="105"/>
      <c r="C240" s="105"/>
      <c r="D240" s="107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</row>
    <row r="241" spans="1:14" s="73" customFormat="1" ht="28.8" customHeight="1" x14ac:dyDescent="0.3">
      <c r="A241" s="103"/>
      <c r="B241" s="105"/>
      <c r="C241" s="105"/>
      <c r="D241" s="107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</row>
    <row r="242" spans="1:14" s="73" customFormat="1" ht="28.8" customHeight="1" x14ac:dyDescent="0.3">
      <c r="A242" s="103"/>
      <c r="B242" s="105"/>
      <c r="C242" s="105"/>
      <c r="D242" s="107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</row>
    <row r="243" spans="1:14" s="73" customFormat="1" ht="28.8" customHeight="1" x14ac:dyDescent="0.3">
      <c r="A243" s="103"/>
      <c r="B243" s="105"/>
      <c r="C243" s="105"/>
      <c r="D243" s="107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</row>
    <row r="244" spans="1:14" s="73" customFormat="1" ht="28.8" customHeight="1" x14ac:dyDescent="0.3">
      <c r="A244" s="103"/>
      <c r="B244" s="105"/>
      <c r="C244" s="105"/>
      <c r="D244" s="107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</row>
    <row r="245" spans="1:14" s="73" customFormat="1" ht="28.8" customHeight="1" x14ac:dyDescent="0.3">
      <c r="A245" s="103"/>
      <c r="B245" s="105"/>
      <c r="C245" s="105"/>
      <c r="D245" s="107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</row>
    <row r="246" spans="1:14" s="73" customFormat="1" ht="28.8" customHeight="1" x14ac:dyDescent="0.3">
      <c r="A246" s="103"/>
      <c r="B246" s="105"/>
      <c r="C246" s="105"/>
      <c r="D246" s="107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</row>
    <row r="247" spans="1:14" s="73" customFormat="1" ht="28.8" customHeight="1" x14ac:dyDescent="0.3">
      <c r="A247" s="103"/>
      <c r="B247" s="105"/>
      <c r="C247" s="105"/>
      <c r="D247" s="107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</row>
    <row r="248" spans="1:14" s="73" customFormat="1" ht="28.8" customHeight="1" x14ac:dyDescent="0.3">
      <c r="A248" s="103"/>
      <c r="B248" s="105"/>
      <c r="C248" s="105"/>
      <c r="D248" s="107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</row>
    <row r="249" spans="1:14" s="73" customFormat="1" ht="28.8" customHeight="1" x14ac:dyDescent="0.3">
      <c r="A249" s="103"/>
      <c r="B249" s="105"/>
      <c r="C249" s="105"/>
      <c r="D249" s="107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</row>
    <row r="250" spans="1:14" s="73" customFormat="1" ht="28.8" customHeight="1" x14ac:dyDescent="0.3">
      <c r="A250" s="103"/>
      <c r="B250" s="105"/>
      <c r="C250" s="105"/>
      <c r="D250" s="107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</row>
    <row r="251" spans="1:14" s="73" customFormat="1" ht="28.8" customHeight="1" x14ac:dyDescent="0.3">
      <c r="A251" s="103"/>
      <c r="B251" s="105"/>
      <c r="C251" s="105"/>
      <c r="D251" s="107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</row>
    <row r="252" spans="1:14" s="73" customFormat="1" ht="28.8" customHeight="1" x14ac:dyDescent="0.3">
      <c r="A252" s="103"/>
      <c r="B252" s="105"/>
      <c r="C252" s="105"/>
      <c r="D252" s="107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</row>
    <row r="253" spans="1:14" s="73" customFormat="1" ht="28.8" customHeight="1" x14ac:dyDescent="0.3">
      <c r="A253" s="103"/>
      <c r="B253" s="105"/>
      <c r="C253" s="105"/>
      <c r="D253" s="107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</row>
    <row r="254" spans="1:14" s="73" customFormat="1" ht="28.8" customHeight="1" x14ac:dyDescent="0.3">
      <c r="A254" s="103"/>
      <c r="B254" s="105"/>
      <c r="C254" s="105"/>
      <c r="D254" s="107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</row>
    <row r="255" spans="1:14" s="73" customFormat="1" ht="28.8" customHeight="1" x14ac:dyDescent="0.3">
      <c r="A255" s="103"/>
      <c r="B255" s="105"/>
      <c r="C255" s="105"/>
      <c r="D255" s="107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</row>
    <row r="256" spans="1:14" s="73" customFormat="1" ht="28.8" customHeight="1" x14ac:dyDescent="0.3">
      <c r="A256" s="103"/>
      <c r="B256" s="105"/>
      <c r="C256" s="105"/>
      <c r="D256" s="107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</row>
    <row r="257" spans="1:14" s="73" customFormat="1" ht="28.8" customHeight="1" x14ac:dyDescent="0.3">
      <c r="A257" s="103"/>
      <c r="B257" s="105"/>
      <c r="C257" s="105"/>
      <c r="D257" s="107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</row>
    <row r="258" spans="1:14" s="73" customFormat="1" ht="28.8" customHeight="1" x14ac:dyDescent="0.3">
      <c r="A258" s="103"/>
      <c r="B258" s="105"/>
      <c r="C258" s="105"/>
      <c r="D258" s="107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</row>
    <row r="259" spans="1:14" s="73" customFormat="1" ht="28.8" customHeight="1" x14ac:dyDescent="0.3">
      <c r="A259" s="103"/>
      <c r="B259" s="105"/>
      <c r="C259" s="105"/>
      <c r="D259" s="107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</row>
    <row r="260" spans="1:14" s="73" customFormat="1" ht="28.8" customHeight="1" x14ac:dyDescent="0.3">
      <c r="A260" s="103"/>
      <c r="B260" s="105"/>
      <c r="C260" s="105"/>
      <c r="D260" s="107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</row>
    <row r="261" spans="1:14" s="73" customFormat="1" ht="28.8" customHeight="1" x14ac:dyDescent="0.3">
      <c r="A261" s="103"/>
      <c r="B261" s="105"/>
      <c r="C261" s="105"/>
      <c r="D261" s="107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</row>
    <row r="262" spans="1:14" s="73" customFormat="1" ht="28.8" customHeight="1" x14ac:dyDescent="0.3">
      <c r="A262" s="103"/>
      <c r="B262" s="105"/>
      <c r="C262" s="105"/>
      <c r="D262" s="107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</row>
    <row r="263" spans="1:14" s="73" customFormat="1" ht="28.8" customHeight="1" x14ac:dyDescent="0.3">
      <c r="A263" s="103"/>
      <c r="B263" s="105"/>
      <c r="C263" s="105"/>
      <c r="D263" s="107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</row>
    <row r="264" spans="1:14" s="73" customFormat="1" ht="28.8" customHeight="1" x14ac:dyDescent="0.3">
      <c r="A264" s="103"/>
      <c r="B264" s="105"/>
      <c r="C264" s="105"/>
      <c r="D264" s="107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</row>
    <row r="265" spans="1:14" s="73" customFormat="1" ht="28.8" customHeight="1" x14ac:dyDescent="0.3">
      <c r="A265" s="103"/>
      <c r="B265" s="105"/>
      <c r="C265" s="105"/>
      <c r="D265" s="107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</row>
    <row r="266" spans="1:14" s="73" customFormat="1" ht="28.8" customHeight="1" x14ac:dyDescent="0.3">
      <c r="A266" s="103"/>
      <c r="B266" s="105"/>
      <c r="C266" s="105"/>
      <c r="D266" s="107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</row>
    <row r="267" spans="1:14" s="73" customFormat="1" ht="28.8" customHeight="1" x14ac:dyDescent="0.3">
      <c r="A267" s="103"/>
      <c r="B267" s="105"/>
      <c r="C267" s="105"/>
      <c r="D267" s="107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</row>
    <row r="268" spans="1:14" s="73" customFormat="1" ht="28.8" customHeight="1" x14ac:dyDescent="0.3">
      <c r="A268" s="103"/>
      <c r="B268" s="105"/>
      <c r="C268" s="105"/>
      <c r="D268" s="107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</row>
    <row r="269" spans="1:14" s="73" customFormat="1" ht="28.8" customHeight="1" x14ac:dyDescent="0.3">
      <c r="A269" s="103"/>
      <c r="B269" s="105"/>
      <c r="C269" s="105"/>
      <c r="D269" s="107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</row>
    <row r="270" spans="1:14" s="73" customFormat="1" ht="28.8" customHeight="1" x14ac:dyDescent="0.3">
      <c r="A270" s="103"/>
      <c r="B270" s="105"/>
      <c r="C270" s="105"/>
      <c r="D270" s="107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</row>
    <row r="271" spans="1:14" s="73" customFormat="1" ht="28.8" customHeight="1" x14ac:dyDescent="0.3">
      <c r="A271" s="103"/>
      <c r="B271" s="105"/>
      <c r="C271" s="105"/>
      <c r="D271" s="107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</row>
    <row r="272" spans="1:14" s="73" customFormat="1" ht="28.8" customHeight="1" x14ac:dyDescent="0.3">
      <c r="A272" s="103"/>
      <c r="B272" s="105"/>
      <c r="C272" s="105"/>
      <c r="D272" s="107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</row>
    <row r="273" spans="1:14" s="73" customFormat="1" ht="28.8" customHeight="1" x14ac:dyDescent="0.3">
      <c r="A273" s="103"/>
      <c r="B273" s="105"/>
      <c r="C273" s="105"/>
      <c r="D273" s="107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</row>
    <row r="274" spans="1:14" s="73" customFormat="1" ht="28.8" customHeight="1" x14ac:dyDescent="0.3">
      <c r="A274" s="103"/>
      <c r="B274" s="105"/>
      <c r="C274" s="105"/>
      <c r="D274" s="107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</row>
    <row r="275" spans="1:14" s="73" customFormat="1" ht="28.8" customHeight="1" x14ac:dyDescent="0.3">
      <c r="A275" s="103"/>
      <c r="B275" s="105"/>
      <c r="C275" s="105"/>
      <c r="D275" s="107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</row>
    <row r="276" spans="1:14" s="73" customFormat="1" ht="28.8" customHeight="1" x14ac:dyDescent="0.3">
      <c r="A276" s="103"/>
      <c r="B276" s="105"/>
      <c r="C276" s="105"/>
      <c r="D276" s="107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</row>
    <row r="277" spans="1:14" s="73" customFormat="1" ht="28.8" customHeight="1" x14ac:dyDescent="0.3">
      <c r="A277" s="103"/>
      <c r="B277" s="105"/>
      <c r="C277" s="105"/>
      <c r="D277" s="107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</row>
    <row r="278" spans="1:14" s="73" customFormat="1" ht="28.8" customHeight="1" x14ac:dyDescent="0.3">
      <c r="A278" s="103"/>
      <c r="B278" s="105"/>
      <c r="C278" s="105"/>
      <c r="D278" s="107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</row>
    <row r="279" spans="1:14" s="73" customFormat="1" ht="28.8" customHeight="1" x14ac:dyDescent="0.3">
      <c r="A279" s="103"/>
      <c r="B279" s="105"/>
      <c r="C279" s="105"/>
      <c r="D279" s="107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</row>
    <row r="280" spans="1:14" s="73" customFormat="1" ht="28.8" customHeight="1" x14ac:dyDescent="0.3">
      <c r="A280" s="103"/>
      <c r="B280" s="105"/>
      <c r="C280" s="105"/>
      <c r="D280" s="107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</row>
    <row r="281" spans="1:14" s="73" customFormat="1" ht="28.8" customHeight="1" x14ac:dyDescent="0.3">
      <c r="A281" s="103"/>
      <c r="B281" s="105"/>
      <c r="C281" s="105"/>
      <c r="D281" s="107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</row>
    <row r="282" spans="1:14" s="73" customFormat="1" ht="28.8" customHeight="1" x14ac:dyDescent="0.3">
      <c r="A282" s="103"/>
      <c r="B282" s="105"/>
      <c r="C282" s="105"/>
      <c r="D282" s="107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</row>
    <row r="283" spans="1:14" s="73" customFormat="1" ht="28.8" customHeight="1" x14ac:dyDescent="0.3">
      <c r="A283" s="103"/>
      <c r="B283" s="105"/>
      <c r="C283" s="105"/>
      <c r="D283" s="107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</row>
    <row r="284" spans="1:14" s="73" customFormat="1" ht="28.8" customHeight="1" x14ac:dyDescent="0.3">
      <c r="A284" s="103"/>
      <c r="B284" s="105"/>
      <c r="C284" s="105"/>
      <c r="D284" s="107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</row>
    <row r="285" spans="1:14" s="73" customFormat="1" ht="28.8" customHeight="1" x14ac:dyDescent="0.3">
      <c r="A285" s="103"/>
      <c r="B285" s="105"/>
      <c r="C285" s="105"/>
      <c r="D285" s="107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</row>
    <row r="286" spans="1:14" s="73" customFormat="1" ht="28.8" customHeight="1" x14ac:dyDescent="0.3">
      <c r="A286" s="103"/>
      <c r="B286" s="105"/>
      <c r="C286" s="105"/>
      <c r="D286" s="107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</row>
    <row r="287" spans="1:14" s="73" customFormat="1" ht="28.8" customHeight="1" x14ac:dyDescent="0.3">
      <c r="A287" s="103"/>
      <c r="B287" s="105"/>
      <c r="C287" s="105"/>
      <c r="D287" s="107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</row>
    <row r="288" spans="1:14" s="73" customFormat="1" ht="28.8" customHeight="1" x14ac:dyDescent="0.3">
      <c r="A288" s="103"/>
      <c r="B288" s="105"/>
      <c r="C288" s="105"/>
      <c r="D288" s="107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</row>
    <row r="289" spans="1:14" s="73" customFormat="1" ht="28.8" customHeight="1" x14ac:dyDescent="0.3">
      <c r="A289" s="103"/>
      <c r="B289" s="105"/>
      <c r="C289" s="105"/>
      <c r="D289" s="107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</row>
    <row r="290" spans="1:14" s="73" customFormat="1" ht="28.8" customHeight="1" x14ac:dyDescent="0.3">
      <c r="A290" s="103"/>
      <c r="B290" s="105"/>
      <c r="C290" s="105"/>
      <c r="D290" s="107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</row>
    <row r="291" spans="1:14" s="73" customFormat="1" ht="28.8" customHeight="1" x14ac:dyDescent="0.3">
      <c r="A291" s="103"/>
      <c r="B291" s="105"/>
      <c r="C291" s="105"/>
      <c r="D291" s="107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</row>
    <row r="292" spans="1:14" s="73" customFormat="1" ht="28.8" customHeight="1" x14ac:dyDescent="0.3">
      <c r="A292" s="103"/>
      <c r="B292" s="105"/>
      <c r="C292" s="105"/>
      <c r="D292" s="107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</row>
    <row r="293" spans="1:14" s="73" customFormat="1" ht="28.8" customHeight="1" x14ac:dyDescent="0.3">
      <c r="A293" s="103"/>
      <c r="B293" s="105"/>
      <c r="C293" s="105"/>
      <c r="D293" s="107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</row>
    <row r="294" spans="1:14" s="73" customFormat="1" ht="28.8" customHeight="1" x14ac:dyDescent="0.3">
      <c r="A294" s="103"/>
      <c r="B294" s="105"/>
      <c r="C294" s="105"/>
      <c r="D294" s="107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</row>
    <row r="295" spans="1:14" s="73" customFormat="1" ht="28.8" customHeight="1" x14ac:dyDescent="0.3">
      <c r="A295" s="103"/>
      <c r="B295" s="105"/>
      <c r="C295" s="105"/>
      <c r="D295" s="107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</row>
    <row r="296" spans="1:14" s="73" customFormat="1" ht="28.8" customHeight="1" x14ac:dyDescent="0.3">
      <c r="A296" s="103"/>
      <c r="B296" s="105"/>
      <c r="C296" s="105"/>
      <c r="D296" s="107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</row>
    <row r="297" spans="1:14" s="73" customFormat="1" ht="28.8" customHeight="1" x14ac:dyDescent="0.3">
      <c r="A297" s="103"/>
      <c r="B297" s="105"/>
      <c r="C297" s="105"/>
      <c r="D297" s="107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</row>
    <row r="298" spans="1:14" s="73" customFormat="1" ht="28.8" customHeight="1" x14ac:dyDescent="0.3">
      <c r="A298" s="103"/>
      <c r="B298" s="105"/>
      <c r="C298" s="105"/>
      <c r="D298" s="107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</row>
    <row r="299" spans="1:14" s="73" customFormat="1" ht="28.8" customHeight="1" x14ac:dyDescent="0.3">
      <c r="A299" s="103"/>
      <c r="B299" s="105"/>
      <c r="C299" s="105"/>
      <c r="D299" s="107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</row>
    <row r="300" spans="1:14" s="73" customFormat="1" ht="28.8" customHeight="1" x14ac:dyDescent="0.3">
      <c r="A300" s="103"/>
      <c r="B300" s="105"/>
      <c r="C300" s="105"/>
      <c r="D300" s="107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</row>
    <row r="301" spans="1:14" s="73" customFormat="1" ht="28.8" customHeight="1" x14ac:dyDescent="0.3">
      <c r="A301" s="103"/>
      <c r="B301" s="105"/>
      <c r="C301" s="105"/>
      <c r="D301" s="107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</row>
    <row r="302" spans="1:14" s="73" customFormat="1" ht="28.8" customHeight="1" x14ac:dyDescent="0.3">
      <c r="A302" s="103"/>
      <c r="B302" s="105"/>
      <c r="C302" s="105"/>
      <c r="D302" s="107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</row>
    <row r="303" spans="1:14" s="73" customFormat="1" ht="28.8" customHeight="1" x14ac:dyDescent="0.3">
      <c r="A303" s="103"/>
      <c r="B303" s="105"/>
      <c r="C303" s="105"/>
      <c r="D303" s="107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</row>
    <row r="304" spans="1:14" s="73" customFormat="1" ht="28.8" customHeight="1" x14ac:dyDescent="0.3">
      <c r="A304" s="103"/>
      <c r="B304" s="105"/>
      <c r="C304" s="105"/>
      <c r="D304" s="107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</row>
    <row r="305" spans="1:14" s="73" customFormat="1" ht="28.8" customHeight="1" x14ac:dyDescent="0.3">
      <c r="A305" s="103"/>
      <c r="B305" s="105"/>
      <c r="C305" s="105"/>
      <c r="D305" s="107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</row>
    <row r="306" spans="1:14" s="73" customFormat="1" ht="28.8" customHeight="1" x14ac:dyDescent="0.3">
      <c r="A306" s="103"/>
      <c r="B306" s="105"/>
      <c r="C306" s="105"/>
      <c r="D306" s="107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</row>
    <row r="307" spans="1:14" s="73" customFormat="1" ht="28.8" customHeight="1" x14ac:dyDescent="0.3">
      <c r="A307" s="103"/>
      <c r="B307" s="105"/>
      <c r="C307" s="105"/>
      <c r="D307" s="107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</row>
    <row r="308" spans="1:14" s="73" customFormat="1" ht="28.8" customHeight="1" x14ac:dyDescent="0.3">
      <c r="A308" s="103"/>
      <c r="B308" s="105"/>
      <c r="C308" s="105"/>
      <c r="D308" s="107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</row>
    <row r="309" spans="1:14" s="73" customFormat="1" ht="28.8" customHeight="1" x14ac:dyDescent="0.3">
      <c r="A309" s="103"/>
      <c r="B309" s="105"/>
      <c r="C309" s="105"/>
      <c r="D309" s="107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</row>
    <row r="310" spans="1:14" s="73" customFormat="1" ht="28.8" customHeight="1" x14ac:dyDescent="0.3">
      <c r="A310" s="103"/>
      <c r="B310" s="105"/>
      <c r="C310" s="105"/>
      <c r="D310" s="107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</row>
    <row r="311" spans="1:14" s="73" customFormat="1" ht="28.8" customHeight="1" x14ac:dyDescent="0.3">
      <c r="A311" s="103"/>
      <c r="B311" s="105"/>
      <c r="C311" s="105"/>
      <c r="D311" s="107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</row>
    <row r="312" spans="1:14" s="73" customFormat="1" ht="28.8" customHeight="1" x14ac:dyDescent="0.3">
      <c r="A312" s="103"/>
      <c r="B312" s="105"/>
      <c r="C312" s="105"/>
      <c r="D312" s="107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</row>
    <row r="313" spans="1:14" s="73" customFormat="1" ht="28.8" customHeight="1" x14ac:dyDescent="0.3">
      <c r="A313" s="103"/>
      <c r="B313" s="105"/>
      <c r="C313" s="105"/>
      <c r="D313" s="107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</row>
    <row r="314" spans="1:14" s="73" customFormat="1" ht="28.8" customHeight="1" x14ac:dyDescent="0.3">
      <c r="A314" s="103"/>
      <c r="B314" s="105"/>
      <c r="C314" s="105"/>
      <c r="D314" s="107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</row>
    <row r="315" spans="1:14" s="73" customFormat="1" ht="28.8" customHeight="1" x14ac:dyDescent="0.3">
      <c r="A315" s="103"/>
      <c r="B315" s="105"/>
      <c r="C315" s="105"/>
      <c r="D315" s="107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</row>
    <row r="316" spans="1:14" s="73" customFormat="1" ht="28.8" customHeight="1" x14ac:dyDescent="0.3">
      <c r="A316" s="103"/>
      <c r="B316" s="105"/>
      <c r="C316" s="105"/>
      <c r="D316" s="107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</row>
    <row r="317" spans="1:14" s="73" customFormat="1" ht="28.8" customHeight="1" x14ac:dyDescent="0.3">
      <c r="A317" s="103"/>
      <c r="B317" s="105"/>
      <c r="C317" s="105"/>
      <c r="D317" s="107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</row>
    <row r="318" spans="1:14" s="73" customFormat="1" ht="28.8" customHeight="1" x14ac:dyDescent="0.3">
      <c r="A318" s="103"/>
      <c r="B318" s="105"/>
      <c r="C318" s="105"/>
      <c r="D318" s="107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</row>
    <row r="319" spans="1:14" s="73" customFormat="1" ht="28.8" customHeight="1" x14ac:dyDescent="0.3">
      <c r="A319" s="103"/>
      <c r="B319" s="105"/>
      <c r="C319" s="105"/>
      <c r="D319" s="107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</row>
    <row r="320" spans="1:14" s="73" customFormat="1" ht="28.8" customHeight="1" x14ac:dyDescent="0.3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</row>
    <row r="321" spans="1:14" s="73" customFormat="1" ht="28.8" customHeight="1" x14ac:dyDescent="0.3">
      <c r="A321" s="103"/>
      <c r="B321" s="105"/>
      <c r="C321" s="105"/>
      <c r="D321" s="107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</row>
    <row r="322" spans="1:14" s="73" customFormat="1" ht="28.8" customHeight="1" x14ac:dyDescent="0.3">
      <c r="A322" s="103"/>
      <c r="B322" s="105"/>
      <c r="C322" s="105"/>
      <c r="D322" s="107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</row>
    <row r="323" spans="1:14" s="73" customFormat="1" ht="28.8" customHeight="1" x14ac:dyDescent="0.3">
      <c r="A323" s="103"/>
      <c r="B323" s="105"/>
      <c r="C323" s="105"/>
      <c r="D323" s="107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</row>
    <row r="324" spans="1:14" s="73" customFormat="1" ht="28.8" customHeight="1" x14ac:dyDescent="0.3">
      <c r="A324" s="103"/>
      <c r="B324" s="105"/>
      <c r="C324" s="105"/>
      <c r="D324" s="107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</row>
    <row r="325" spans="1:14" s="73" customFormat="1" ht="28.8" customHeight="1" x14ac:dyDescent="0.3">
      <c r="A325" s="103"/>
      <c r="B325" s="105"/>
      <c r="C325" s="105"/>
      <c r="D325" s="107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</row>
    <row r="326" spans="1:14" s="73" customFormat="1" ht="28.8" customHeight="1" x14ac:dyDescent="0.3">
      <c r="A326" s="103"/>
      <c r="B326" s="105"/>
      <c r="C326" s="105"/>
      <c r="D326" s="107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</row>
    <row r="327" spans="1:14" s="73" customFormat="1" ht="28.8" customHeight="1" x14ac:dyDescent="0.3">
      <c r="A327" s="103"/>
      <c r="B327" s="105"/>
      <c r="C327" s="105"/>
      <c r="D327" s="107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</row>
    <row r="328" spans="1:14" s="73" customFormat="1" ht="28.8" customHeight="1" x14ac:dyDescent="0.3">
      <c r="A328" s="103"/>
      <c r="B328" s="105"/>
      <c r="C328" s="105"/>
      <c r="D328" s="107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</row>
    <row r="329" spans="1:14" s="73" customFormat="1" ht="28.8" customHeight="1" x14ac:dyDescent="0.3">
      <c r="A329" s="103"/>
      <c r="B329" s="105"/>
      <c r="C329" s="105"/>
      <c r="D329" s="107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</row>
    <row r="330" spans="1:14" s="73" customFormat="1" ht="28.8" customHeight="1" x14ac:dyDescent="0.3">
      <c r="A330" s="103"/>
      <c r="B330" s="105"/>
      <c r="C330" s="105"/>
      <c r="D330" s="107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</row>
    <row r="331" spans="1:14" s="73" customFormat="1" ht="28.8" customHeight="1" x14ac:dyDescent="0.3">
      <c r="A331" s="103"/>
      <c r="B331" s="105"/>
      <c r="C331" s="105"/>
      <c r="D331" s="107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</row>
    <row r="332" spans="1:14" s="73" customFormat="1" ht="28.8" customHeight="1" x14ac:dyDescent="0.3">
      <c r="A332" s="103"/>
      <c r="B332" s="105"/>
      <c r="C332" s="105"/>
      <c r="D332" s="107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</row>
    <row r="333" spans="1:14" s="73" customFormat="1" ht="28.8" customHeight="1" x14ac:dyDescent="0.3">
      <c r="A333" s="103"/>
      <c r="B333" s="105"/>
      <c r="C333" s="105"/>
      <c r="D333" s="107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</row>
    <row r="334" spans="1:14" s="73" customFormat="1" ht="28.8" customHeight="1" x14ac:dyDescent="0.3">
      <c r="A334" s="103"/>
      <c r="B334" s="105"/>
      <c r="C334" s="105"/>
      <c r="D334" s="107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</row>
    <row r="335" spans="1:14" s="73" customFormat="1" ht="28.8" customHeight="1" x14ac:dyDescent="0.3">
      <c r="A335" s="103"/>
      <c r="B335" s="105"/>
      <c r="C335" s="105"/>
      <c r="D335" s="107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</row>
    <row r="336" spans="1:14" s="73" customFormat="1" ht="28.8" customHeight="1" x14ac:dyDescent="0.3">
      <c r="A336" s="103"/>
      <c r="B336" s="105"/>
      <c r="C336" s="105"/>
      <c r="D336" s="107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</row>
    <row r="337" spans="1:14" s="73" customFormat="1" ht="28.8" customHeight="1" x14ac:dyDescent="0.3">
      <c r="A337" s="103"/>
      <c r="B337" s="105"/>
      <c r="C337" s="105"/>
      <c r="D337" s="107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</row>
    <row r="338" spans="1:14" s="73" customFormat="1" ht="28.8" customHeight="1" x14ac:dyDescent="0.3">
      <c r="A338" s="103"/>
      <c r="B338" s="105"/>
      <c r="C338" s="105"/>
      <c r="D338" s="107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</row>
    <row r="339" spans="1:14" s="73" customFormat="1" ht="28.8" customHeight="1" x14ac:dyDescent="0.3">
      <c r="A339" s="103"/>
      <c r="B339" s="105"/>
      <c r="C339" s="105"/>
      <c r="D339" s="107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</row>
    <row r="340" spans="1:14" s="73" customFormat="1" ht="28.8" customHeight="1" x14ac:dyDescent="0.3">
      <c r="A340" s="103"/>
      <c r="B340" s="105"/>
      <c r="C340" s="105"/>
      <c r="D340" s="107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</row>
    <row r="341" spans="1:14" s="73" customFormat="1" ht="28.8" customHeight="1" x14ac:dyDescent="0.3">
      <c r="A341" s="103"/>
      <c r="B341" s="105"/>
      <c r="C341" s="105"/>
      <c r="D341" s="107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</row>
    <row r="342" spans="1:14" s="73" customFormat="1" ht="28.8" customHeight="1" x14ac:dyDescent="0.3">
      <c r="A342" s="103"/>
      <c r="B342" s="105"/>
      <c r="C342" s="105"/>
      <c r="D342" s="107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</row>
    <row r="343" spans="1:14" s="73" customFormat="1" ht="28.8" customHeight="1" x14ac:dyDescent="0.3">
      <c r="A343" s="103"/>
      <c r="B343" s="105"/>
      <c r="C343" s="105"/>
      <c r="D343" s="107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</row>
    <row r="344" spans="1:14" s="73" customFormat="1" ht="28.8" customHeight="1" x14ac:dyDescent="0.3">
      <c r="A344" s="103"/>
      <c r="B344" s="105"/>
      <c r="C344" s="105"/>
      <c r="D344" s="107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</row>
    <row r="345" spans="1:14" s="73" customFormat="1" ht="28.8" customHeight="1" x14ac:dyDescent="0.3">
      <c r="A345" s="103"/>
      <c r="B345" s="105"/>
      <c r="C345" s="105"/>
      <c r="D345" s="107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</row>
    <row r="346" spans="1:14" s="73" customFormat="1" ht="28.8" customHeight="1" x14ac:dyDescent="0.3">
      <c r="A346" s="103"/>
      <c r="B346" s="105"/>
      <c r="C346" s="105"/>
      <c r="D346" s="107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</row>
    <row r="347" spans="1:14" s="73" customFormat="1" ht="28.8" customHeight="1" x14ac:dyDescent="0.3">
      <c r="A347" s="103"/>
      <c r="B347" s="105"/>
      <c r="C347" s="105"/>
      <c r="D347" s="107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</row>
    <row r="348" spans="1:14" s="73" customFormat="1" ht="28.8" customHeight="1" x14ac:dyDescent="0.3">
      <c r="A348" s="103"/>
      <c r="B348" s="105"/>
      <c r="C348" s="105"/>
      <c r="D348" s="107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</row>
    <row r="349" spans="1:14" s="73" customFormat="1" ht="28.8" customHeight="1" x14ac:dyDescent="0.3">
      <c r="A349" s="103"/>
      <c r="B349" s="105"/>
      <c r="C349" s="105"/>
      <c r="D349" s="107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</row>
    <row r="350" spans="1:14" s="73" customFormat="1" ht="28.8" customHeight="1" x14ac:dyDescent="0.3">
      <c r="A350" s="103"/>
      <c r="B350" s="105"/>
      <c r="C350" s="105"/>
      <c r="D350" s="107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</row>
    <row r="351" spans="1:14" s="73" customFormat="1" ht="28.8" customHeight="1" x14ac:dyDescent="0.3">
      <c r="A351" s="103"/>
      <c r="B351" s="105"/>
      <c r="C351" s="105"/>
      <c r="D351" s="107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</row>
    <row r="352" spans="1:14" s="73" customFormat="1" ht="28.8" customHeight="1" x14ac:dyDescent="0.3">
      <c r="A352" s="103"/>
      <c r="B352" s="105"/>
      <c r="C352" s="105"/>
      <c r="D352" s="107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</row>
    <row r="353" spans="1:14" s="73" customFormat="1" ht="28.8" customHeight="1" x14ac:dyDescent="0.3">
      <c r="A353" s="103"/>
      <c r="B353" s="105"/>
      <c r="C353" s="105"/>
      <c r="D353" s="107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</row>
    <row r="354" spans="1:14" s="73" customFormat="1" ht="28.8" customHeight="1" x14ac:dyDescent="0.3">
      <c r="A354" s="103"/>
      <c r="B354" s="105"/>
      <c r="C354" s="105"/>
      <c r="D354" s="107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</row>
    <row r="355" spans="1:14" s="73" customFormat="1" ht="28.8" customHeight="1" x14ac:dyDescent="0.3">
      <c r="A355" s="103"/>
      <c r="B355" s="105"/>
      <c r="C355" s="105"/>
      <c r="D355" s="107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</row>
    <row r="356" spans="1:14" s="73" customFormat="1" ht="28.8" customHeight="1" x14ac:dyDescent="0.3">
      <c r="A356" s="103"/>
      <c r="B356" s="105"/>
      <c r="C356" s="105"/>
      <c r="D356" s="107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</row>
    <row r="357" spans="1:14" s="73" customFormat="1" ht="28.8" customHeight="1" x14ac:dyDescent="0.3">
      <c r="A357" s="103"/>
      <c r="B357" s="105"/>
      <c r="C357" s="105"/>
      <c r="D357" s="107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</row>
    <row r="358" spans="1:14" s="73" customFormat="1" ht="28.8" customHeight="1" x14ac:dyDescent="0.3">
      <c r="A358" s="103"/>
      <c r="B358" s="105"/>
      <c r="C358" s="105"/>
      <c r="D358" s="107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</row>
    <row r="359" spans="1:14" s="73" customFormat="1" ht="28.8" customHeight="1" x14ac:dyDescent="0.3">
      <c r="A359" s="103"/>
      <c r="B359" s="105"/>
      <c r="C359" s="105"/>
      <c r="D359" s="107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</row>
    <row r="360" spans="1:14" s="73" customFormat="1" ht="28.8" customHeight="1" x14ac:dyDescent="0.3">
      <c r="A360" s="103"/>
      <c r="B360" s="105"/>
      <c r="C360" s="105"/>
      <c r="D360" s="107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</row>
    <row r="361" spans="1:14" s="73" customFormat="1" ht="28.8" customHeight="1" x14ac:dyDescent="0.3">
      <c r="A361" s="103"/>
      <c r="B361" s="105"/>
      <c r="C361" s="105"/>
      <c r="D361" s="107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</row>
    <row r="362" spans="1:14" s="73" customFormat="1" ht="28.8" customHeight="1" x14ac:dyDescent="0.3">
      <c r="A362" s="103"/>
      <c r="B362" s="105"/>
      <c r="C362" s="105"/>
      <c r="D362" s="107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</row>
    <row r="363" spans="1:14" s="73" customFormat="1" ht="28.8" customHeight="1" x14ac:dyDescent="0.3">
      <c r="A363" s="103"/>
      <c r="B363" s="105"/>
      <c r="C363" s="105"/>
      <c r="D363" s="107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</row>
    <row r="364" spans="1:14" s="73" customFormat="1" ht="28.8" customHeight="1" x14ac:dyDescent="0.3">
      <c r="A364" s="103"/>
      <c r="B364" s="105"/>
      <c r="C364" s="105"/>
      <c r="D364" s="107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</row>
    <row r="365" spans="1:14" s="73" customFormat="1" ht="28.8" customHeight="1" x14ac:dyDescent="0.3">
      <c r="A365" s="103"/>
      <c r="B365" s="105"/>
      <c r="C365" s="105"/>
      <c r="D365" s="107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</row>
    <row r="366" spans="1:14" s="73" customFormat="1" ht="28.8" customHeight="1" x14ac:dyDescent="0.3">
      <c r="A366" s="103"/>
      <c r="B366" s="105"/>
      <c r="C366" s="105"/>
      <c r="D366" s="107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</row>
    <row r="367" spans="1:14" s="73" customFormat="1" ht="28.8" customHeight="1" x14ac:dyDescent="0.3">
      <c r="A367" s="103"/>
      <c r="B367" s="105"/>
      <c r="C367" s="105"/>
      <c r="D367" s="107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</row>
    <row r="368" spans="1:14" s="73" customFormat="1" ht="28.8" customHeight="1" x14ac:dyDescent="0.3">
      <c r="A368" s="103"/>
      <c r="B368" s="105"/>
      <c r="C368" s="105"/>
      <c r="D368" s="107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</row>
    <row r="369" spans="1:14" s="73" customFormat="1" ht="28.8" customHeight="1" x14ac:dyDescent="0.3">
      <c r="A369" s="103"/>
      <c r="B369" s="105"/>
      <c r="C369" s="105"/>
      <c r="D369" s="107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</row>
    <row r="370" spans="1:14" s="73" customFormat="1" ht="28.8" customHeight="1" x14ac:dyDescent="0.3">
      <c r="A370" s="103"/>
      <c r="B370" s="105"/>
      <c r="C370" s="105"/>
      <c r="D370" s="107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</row>
    <row r="371" spans="1:14" s="73" customFormat="1" ht="28.8" customHeight="1" x14ac:dyDescent="0.3">
      <c r="A371" s="103"/>
      <c r="B371" s="105"/>
      <c r="C371" s="105"/>
      <c r="D371" s="107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</row>
    <row r="372" spans="1:14" s="73" customFormat="1" ht="28.8" customHeight="1" x14ac:dyDescent="0.3">
      <c r="A372" s="103"/>
      <c r="B372" s="105"/>
      <c r="C372" s="105"/>
      <c r="D372" s="107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</row>
    <row r="373" spans="1:14" s="73" customFormat="1" ht="28.8" customHeight="1" x14ac:dyDescent="0.3">
      <c r="A373" s="103"/>
      <c r="B373" s="105"/>
      <c r="C373" s="105"/>
      <c r="D373" s="107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</row>
    <row r="374" spans="1:14" s="73" customFormat="1" ht="28.8" customHeight="1" x14ac:dyDescent="0.3">
      <c r="A374" s="103"/>
      <c r="B374" s="105"/>
      <c r="C374" s="105"/>
      <c r="D374" s="107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</row>
    <row r="375" spans="1:14" s="73" customFormat="1" ht="28.8" customHeight="1" x14ac:dyDescent="0.3">
      <c r="A375" s="103"/>
      <c r="B375" s="105"/>
      <c r="C375" s="105"/>
      <c r="D375" s="107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</row>
    <row r="376" spans="1:14" s="73" customFormat="1" ht="28.8" customHeight="1" x14ac:dyDescent="0.3">
      <c r="A376" s="103"/>
      <c r="B376" s="105"/>
      <c r="C376" s="105"/>
      <c r="D376" s="107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</row>
    <row r="377" spans="1:14" s="73" customFormat="1" ht="28.8" customHeight="1" x14ac:dyDescent="0.3">
      <c r="A377" s="103"/>
      <c r="B377" s="105"/>
      <c r="C377" s="105"/>
      <c r="D377" s="107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</row>
    <row r="378" spans="1:14" s="73" customFormat="1" ht="28.8" customHeight="1" x14ac:dyDescent="0.3">
      <c r="A378" s="103"/>
      <c r="B378" s="105"/>
      <c r="C378" s="105"/>
      <c r="D378" s="107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</row>
    <row r="379" spans="1:14" s="73" customFormat="1" ht="28.8" customHeight="1" x14ac:dyDescent="0.3">
      <c r="A379" s="103"/>
      <c r="B379" s="105"/>
      <c r="C379" s="105"/>
      <c r="D379" s="107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</row>
    <row r="380" spans="1:14" s="73" customFormat="1" ht="28.8" customHeight="1" x14ac:dyDescent="0.3">
      <c r="A380" s="103"/>
      <c r="B380" s="105"/>
      <c r="C380" s="105"/>
      <c r="D380" s="107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</row>
    <row r="381" spans="1:14" s="73" customFormat="1" ht="28.8" customHeight="1" x14ac:dyDescent="0.3">
      <c r="A381" s="103"/>
      <c r="B381" s="105"/>
      <c r="C381" s="105"/>
      <c r="D381" s="107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</row>
    <row r="382" spans="1:14" s="73" customFormat="1" ht="28.8" customHeight="1" x14ac:dyDescent="0.3">
      <c r="A382" s="103"/>
      <c r="B382" s="105"/>
      <c r="C382" s="105"/>
      <c r="D382" s="107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</row>
    <row r="383" spans="1:14" s="73" customFormat="1" ht="28.8" customHeight="1" x14ac:dyDescent="0.3">
      <c r="A383" s="103"/>
      <c r="B383" s="105"/>
      <c r="C383" s="105"/>
      <c r="D383" s="107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</row>
    <row r="384" spans="1:14" s="73" customFormat="1" ht="28.8" customHeight="1" x14ac:dyDescent="0.3">
      <c r="A384" s="103"/>
      <c r="B384" s="105"/>
      <c r="C384" s="105"/>
      <c r="D384" s="107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</row>
    <row r="385" spans="1:14" s="73" customFormat="1" ht="28.8" customHeight="1" x14ac:dyDescent="0.3">
      <c r="A385" s="103"/>
      <c r="B385" s="105"/>
      <c r="C385" s="105"/>
      <c r="D385" s="107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</row>
    <row r="386" spans="1:14" s="73" customFormat="1" ht="28.8" customHeight="1" x14ac:dyDescent="0.3">
      <c r="A386" s="103"/>
      <c r="B386" s="105"/>
      <c r="C386" s="105"/>
      <c r="D386" s="107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</row>
    <row r="387" spans="1:14" s="73" customFormat="1" ht="28.8" customHeight="1" x14ac:dyDescent="0.3">
      <c r="A387" s="103"/>
      <c r="B387" s="105"/>
      <c r="C387" s="105"/>
      <c r="D387" s="107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</row>
    <row r="388" spans="1:14" s="73" customFormat="1" ht="28.8" customHeight="1" x14ac:dyDescent="0.3">
      <c r="A388" s="103"/>
      <c r="B388" s="105"/>
      <c r="C388" s="105"/>
      <c r="D388" s="107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</row>
    <row r="389" spans="1:14" s="73" customFormat="1" ht="28.8" customHeight="1" x14ac:dyDescent="0.3">
      <c r="A389" s="103"/>
      <c r="B389" s="105"/>
      <c r="C389" s="105"/>
      <c r="D389" s="107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</row>
    <row r="390" spans="1:14" s="73" customFormat="1" ht="28.8" customHeight="1" x14ac:dyDescent="0.3">
      <c r="A390" s="103"/>
      <c r="B390" s="105"/>
      <c r="C390" s="105"/>
      <c r="D390" s="107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</row>
    <row r="391" spans="1:14" s="73" customFormat="1" ht="28.8" customHeight="1" x14ac:dyDescent="0.3">
      <c r="A391" s="103"/>
      <c r="B391" s="105"/>
      <c r="C391" s="105"/>
      <c r="D391" s="107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</row>
    <row r="392" spans="1:14" s="73" customFormat="1" ht="28.8" customHeight="1" x14ac:dyDescent="0.3">
      <c r="A392" s="103"/>
      <c r="B392" s="105"/>
      <c r="C392" s="105"/>
      <c r="D392" s="107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</row>
    <row r="393" spans="1:14" s="73" customFormat="1" ht="28.8" customHeight="1" x14ac:dyDescent="0.3">
      <c r="A393" s="103"/>
      <c r="B393" s="105"/>
      <c r="C393" s="105"/>
      <c r="D393" s="107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</row>
    <row r="394" spans="1:14" s="73" customFormat="1" ht="28.8" customHeight="1" x14ac:dyDescent="0.3">
      <c r="A394" s="103"/>
      <c r="B394" s="105"/>
      <c r="C394" s="105"/>
      <c r="D394" s="107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</row>
    <row r="395" spans="1:14" s="73" customFormat="1" ht="28.8" customHeight="1" x14ac:dyDescent="0.3">
      <c r="A395" s="103"/>
      <c r="B395" s="105"/>
      <c r="C395" s="105"/>
      <c r="D395" s="107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</row>
    <row r="396" spans="1:14" s="73" customFormat="1" ht="28.8" customHeight="1" x14ac:dyDescent="0.3">
      <c r="A396" s="103"/>
      <c r="B396" s="105"/>
      <c r="C396" s="105"/>
      <c r="D396" s="107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</row>
    <row r="397" spans="1:14" s="73" customFormat="1" ht="28.8" customHeight="1" x14ac:dyDescent="0.3">
      <c r="A397" s="103"/>
      <c r="B397" s="105"/>
      <c r="C397" s="105"/>
      <c r="D397" s="107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</row>
    <row r="398" spans="1:14" s="73" customFormat="1" ht="28.8" customHeight="1" x14ac:dyDescent="0.3">
      <c r="A398" s="103"/>
      <c r="B398" s="105"/>
      <c r="C398" s="105"/>
      <c r="D398" s="107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</row>
    <row r="399" spans="1:14" s="73" customFormat="1" ht="28.8" customHeight="1" x14ac:dyDescent="0.3">
      <c r="A399" s="103"/>
      <c r="B399" s="105"/>
      <c r="C399" s="105"/>
      <c r="D399" s="107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</row>
    <row r="400" spans="1:14" s="73" customFormat="1" ht="28.8" customHeight="1" x14ac:dyDescent="0.3">
      <c r="A400" s="103"/>
      <c r="B400" s="105"/>
      <c r="C400" s="105"/>
      <c r="D400" s="107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</row>
    <row r="401" spans="1:14" s="73" customFormat="1" ht="28.8" customHeight="1" x14ac:dyDescent="0.3">
      <c r="A401" s="103"/>
      <c r="B401" s="105"/>
      <c r="C401" s="105"/>
      <c r="D401" s="107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</row>
    <row r="402" spans="1:14" s="73" customFormat="1" ht="28.8" customHeight="1" x14ac:dyDescent="0.3">
      <c r="A402" s="103"/>
      <c r="B402" s="105"/>
      <c r="C402" s="105"/>
      <c r="D402" s="107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</row>
    <row r="403" spans="1:14" s="73" customFormat="1" ht="28.8" customHeight="1" x14ac:dyDescent="0.3">
      <c r="A403" s="103"/>
      <c r="B403" s="105"/>
      <c r="C403" s="105"/>
      <c r="D403" s="107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</row>
    <row r="404" spans="1:14" s="73" customFormat="1" ht="28.8" customHeight="1" x14ac:dyDescent="0.3">
      <c r="A404" s="103"/>
      <c r="B404" s="105"/>
      <c r="C404" s="105"/>
      <c r="D404" s="107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</row>
    <row r="405" spans="1:14" s="73" customFormat="1" ht="28.8" customHeight="1" x14ac:dyDescent="0.3">
      <c r="A405" s="103"/>
      <c r="B405" s="105"/>
      <c r="C405" s="105"/>
      <c r="D405" s="107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</row>
    <row r="406" spans="1:14" s="73" customFormat="1" ht="28.8" customHeight="1" x14ac:dyDescent="0.3">
      <c r="A406" s="103"/>
      <c r="B406" s="105"/>
      <c r="C406" s="105"/>
      <c r="D406" s="107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</row>
    <row r="407" spans="1:14" s="73" customFormat="1" ht="28.8" customHeight="1" x14ac:dyDescent="0.3">
      <c r="A407" s="103"/>
      <c r="B407" s="105"/>
      <c r="C407" s="105"/>
      <c r="D407" s="107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</row>
    <row r="408" spans="1:14" s="73" customFormat="1" ht="28.8" customHeight="1" x14ac:dyDescent="0.3">
      <c r="A408" s="103"/>
      <c r="B408" s="105"/>
      <c r="C408" s="105"/>
      <c r="D408" s="107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</row>
    <row r="409" spans="1:14" s="73" customFormat="1" ht="28.8" customHeight="1" x14ac:dyDescent="0.3">
      <c r="A409" s="103"/>
      <c r="B409" s="105"/>
      <c r="C409" s="105"/>
      <c r="D409" s="107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</row>
    <row r="410" spans="1:14" s="73" customFormat="1" ht="28.8" customHeight="1" x14ac:dyDescent="0.3">
      <c r="A410" s="103"/>
      <c r="B410" s="105"/>
      <c r="C410" s="105"/>
      <c r="D410" s="107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</row>
    <row r="411" spans="1:14" s="73" customFormat="1" ht="28.8" customHeight="1" x14ac:dyDescent="0.3">
      <c r="A411" s="103"/>
      <c r="B411" s="105"/>
      <c r="C411" s="105"/>
      <c r="D411" s="107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</row>
    <row r="412" spans="1:14" s="73" customFormat="1" ht="28.8" customHeight="1" x14ac:dyDescent="0.3">
      <c r="A412" s="103"/>
      <c r="B412" s="105"/>
      <c r="C412" s="105"/>
      <c r="D412" s="107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</row>
    <row r="413" spans="1:14" s="73" customFormat="1" ht="28.8" customHeight="1" x14ac:dyDescent="0.3">
      <c r="A413" s="103"/>
      <c r="B413" s="105"/>
      <c r="C413" s="105"/>
      <c r="D413" s="107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</row>
    <row r="414" spans="1:14" s="73" customFormat="1" ht="28.8" customHeight="1" x14ac:dyDescent="0.3">
      <c r="A414" s="103"/>
      <c r="B414" s="105"/>
      <c r="C414" s="105"/>
      <c r="D414" s="107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</row>
    <row r="415" spans="1:14" s="73" customFormat="1" ht="28.8" customHeight="1" x14ac:dyDescent="0.3">
      <c r="A415" s="103"/>
      <c r="B415" s="105"/>
      <c r="C415" s="105"/>
      <c r="D415" s="107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</row>
    <row r="416" spans="1:14" s="73" customFormat="1" ht="28.8" customHeight="1" x14ac:dyDescent="0.3">
      <c r="A416" s="103"/>
      <c r="B416" s="105"/>
      <c r="C416" s="105"/>
      <c r="D416" s="107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</row>
    <row r="417" spans="1:14" s="73" customFormat="1" ht="28.8" customHeight="1" x14ac:dyDescent="0.3">
      <c r="A417" s="103"/>
      <c r="B417" s="105"/>
      <c r="C417" s="105"/>
      <c r="D417" s="107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</row>
    <row r="418" spans="1:14" s="73" customFormat="1" ht="28.8" customHeight="1" x14ac:dyDescent="0.3">
      <c r="A418" s="103"/>
      <c r="B418" s="105"/>
      <c r="C418" s="105"/>
      <c r="D418" s="107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</row>
    <row r="419" spans="1:14" s="73" customFormat="1" ht="28.8" customHeight="1" x14ac:dyDescent="0.3">
      <c r="A419" s="103"/>
      <c r="B419" s="105"/>
      <c r="C419" s="105"/>
      <c r="D419" s="107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</row>
    <row r="420" spans="1:14" s="73" customFormat="1" ht="28.8" customHeight="1" x14ac:dyDescent="0.3">
      <c r="A420" s="103"/>
      <c r="B420" s="105"/>
      <c r="C420" s="105"/>
      <c r="D420" s="107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</row>
    <row r="421" spans="1:14" s="73" customFormat="1" ht="28.8" customHeight="1" x14ac:dyDescent="0.3">
      <c r="A421" s="103"/>
      <c r="B421" s="105"/>
      <c r="C421" s="105"/>
      <c r="D421" s="107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</row>
    <row r="422" spans="1:14" s="73" customFormat="1" ht="28.8" customHeight="1" x14ac:dyDescent="0.3">
      <c r="A422" s="103"/>
      <c r="B422" s="105"/>
      <c r="C422" s="105"/>
      <c r="D422" s="107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</row>
    <row r="423" spans="1:14" s="73" customFormat="1" ht="28.8" customHeight="1" x14ac:dyDescent="0.3">
      <c r="A423" s="103"/>
      <c r="B423" s="105"/>
      <c r="C423" s="105"/>
      <c r="D423" s="107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</row>
    <row r="424" spans="1:14" s="73" customFormat="1" ht="28.8" customHeight="1" x14ac:dyDescent="0.3">
      <c r="A424" s="103"/>
      <c r="B424" s="105"/>
      <c r="C424" s="105"/>
      <c r="D424" s="107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</row>
    <row r="425" spans="1:14" s="73" customFormat="1" ht="28.8" customHeight="1" x14ac:dyDescent="0.3">
      <c r="A425" s="103"/>
      <c r="B425" s="105"/>
      <c r="C425" s="105"/>
      <c r="D425" s="107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</row>
    <row r="426" spans="1:14" s="73" customFormat="1" ht="28.8" customHeight="1" x14ac:dyDescent="0.3">
      <c r="A426" s="103"/>
      <c r="B426" s="105"/>
      <c r="C426" s="105"/>
      <c r="D426" s="107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</row>
    <row r="427" spans="1:14" s="73" customFormat="1" ht="28.8" customHeight="1" x14ac:dyDescent="0.3">
      <c r="A427" s="103"/>
      <c r="B427" s="105"/>
      <c r="C427" s="105"/>
      <c r="D427" s="107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</row>
    <row r="428" spans="1:14" s="73" customFormat="1" ht="28.8" customHeight="1" x14ac:dyDescent="0.3">
      <c r="A428" s="103"/>
      <c r="B428" s="105"/>
      <c r="C428" s="105"/>
      <c r="D428" s="107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</row>
    <row r="429" spans="1:14" s="73" customFormat="1" ht="28.8" customHeight="1" x14ac:dyDescent="0.3">
      <c r="A429" s="103"/>
      <c r="B429" s="105"/>
      <c r="C429" s="105"/>
      <c r="D429" s="107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</row>
    <row r="430" spans="1:14" s="73" customFormat="1" ht="28.8" customHeight="1" x14ac:dyDescent="0.3">
      <c r="A430" s="103"/>
      <c r="B430" s="105"/>
      <c r="C430" s="105"/>
      <c r="D430" s="107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</row>
    <row r="431" spans="1:14" s="73" customFormat="1" ht="28.8" customHeight="1" x14ac:dyDescent="0.3">
      <c r="A431" s="103"/>
      <c r="B431" s="105"/>
      <c r="C431" s="105"/>
      <c r="D431" s="107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</row>
    <row r="432" spans="1:14" s="73" customFormat="1" ht="28.8" customHeight="1" x14ac:dyDescent="0.3">
      <c r="A432" s="103"/>
      <c r="B432" s="105"/>
      <c r="C432" s="105"/>
      <c r="D432" s="107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</row>
    <row r="433" spans="1:14" s="73" customFormat="1" ht="28.8" customHeight="1" x14ac:dyDescent="0.3">
      <c r="A433" s="103"/>
      <c r="B433" s="105"/>
      <c r="C433" s="105"/>
      <c r="D433" s="107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</row>
    <row r="434" spans="1:14" s="73" customFormat="1" ht="28.8" customHeight="1" x14ac:dyDescent="0.3">
      <c r="A434" s="103"/>
      <c r="B434" s="105"/>
      <c r="C434" s="105"/>
      <c r="D434" s="107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</row>
    <row r="435" spans="1:14" s="73" customFormat="1" ht="28.8" customHeight="1" x14ac:dyDescent="0.3">
      <c r="A435" s="103"/>
      <c r="B435" s="105"/>
      <c r="C435" s="105"/>
      <c r="D435" s="107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</row>
    <row r="436" spans="1:14" s="73" customFormat="1" ht="28.8" customHeight="1" x14ac:dyDescent="0.3">
      <c r="A436" s="103"/>
      <c r="B436" s="105"/>
      <c r="C436" s="105"/>
      <c r="D436" s="107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</row>
    <row r="437" spans="1:14" s="73" customFormat="1" ht="28.8" customHeight="1" x14ac:dyDescent="0.3">
      <c r="A437" s="103"/>
      <c r="B437" s="105"/>
      <c r="C437" s="105"/>
      <c r="D437" s="107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</row>
    <row r="438" spans="1:14" s="73" customFormat="1" ht="28.8" customHeight="1" x14ac:dyDescent="0.3">
      <c r="A438" s="103"/>
      <c r="B438" s="105"/>
      <c r="C438" s="105"/>
      <c r="D438" s="107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</row>
    <row r="439" spans="1:14" s="73" customFormat="1" ht="28.8" customHeight="1" x14ac:dyDescent="0.3">
      <c r="A439" s="103"/>
      <c r="B439" s="105"/>
      <c r="C439" s="105"/>
      <c r="D439" s="107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</row>
    <row r="440" spans="1:14" s="73" customFormat="1" ht="28.8" customHeight="1" x14ac:dyDescent="0.3">
      <c r="A440" s="103"/>
      <c r="B440" s="105"/>
      <c r="C440" s="105"/>
      <c r="D440" s="107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</row>
    <row r="441" spans="1:14" s="73" customFormat="1" ht="28.8" customHeight="1" x14ac:dyDescent="0.3">
      <c r="A441" s="103"/>
      <c r="B441" s="105"/>
      <c r="C441" s="105"/>
      <c r="D441" s="107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</row>
    <row r="442" spans="1:14" s="73" customFormat="1" ht="28.8" customHeight="1" x14ac:dyDescent="0.3">
      <c r="A442" s="103"/>
      <c r="B442" s="105"/>
      <c r="C442" s="105"/>
      <c r="D442" s="107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</row>
    <row r="443" spans="1:14" s="73" customFormat="1" ht="28.8" customHeight="1" x14ac:dyDescent="0.3">
      <c r="A443" s="103"/>
      <c r="B443" s="105"/>
      <c r="C443" s="105"/>
      <c r="D443" s="107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</row>
    <row r="444" spans="1:14" s="73" customFormat="1" ht="28.8" customHeight="1" x14ac:dyDescent="0.3">
      <c r="A444" s="103"/>
      <c r="B444" s="105"/>
      <c r="C444" s="105"/>
      <c r="D444" s="107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</row>
    <row r="445" spans="1:14" s="73" customFormat="1" ht="28.8" customHeight="1" x14ac:dyDescent="0.3">
      <c r="A445" s="103"/>
      <c r="B445" s="105"/>
      <c r="C445" s="105"/>
      <c r="D445" s="107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</row>
    <row r="446" spans="1:14" s="73" customFormat="1" ht="28.8" customHeight="1" x14ac:dyDescent="0.3">
      <c r="A446" s="103"/>
      <c r="B446" s="105"/>
      <c r="C446" s="105"/>
      <c r="D446" s="107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</row>
    <row r="447" spans="1:14" s="73" customFormat="1" ht="28.8" customHeight="1" x14ac:dyDescent="0.3">
      <c r="A447" s="103"/>
      <c r="B447" s="105"/>
      <c r="C447" s="105"/>
      <c r="D447" s="107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</row>
    <row r="448" spans="1:14" s="73" customFormat="1" ht="28.8" customHeight="1" x14ac:dyDescent="0.3">
      <c r="A448" s="103"/>
      <c r="B448" s="105"/>
      <c r="C448" s="105"/>
      <c r="D448" s="107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</row>
    <row r="449" spans="1:14" s="73" customFormat="1" ht="28.8" customHeight="1" x14ac:dyDescent="0.3">
      <c r="A449" s="103"/>
      <c r="B449" s="105"/>
      <c r="C449" s="105"/>
      <c r="D449" s="107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</row>
    <row r="450" spans="1:14" s="73" customFormat="1" ht="28.8" customHeight="1" x14ac:dyDescent="0.3">
      <c r="A450" s="103"/>
      <c r="B450" s="105"/>
      <c r="C450" s="105"/>
      <c r="D450" s="107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</row>
    <row r="451" spans="1:14" s="73" customFormat="1" ht="28.8" customHeight="1" x14ac:dyDescent="0.3">
      <c r="A451" s="103"/>
      <c r="B451" s="105"/>
      <c r="C451" s="105"/>
      <c r="D451" s="107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</row>
    <row r="452" spans="1:14" s="73" customFormat="1" ht="28.8" customHeight="1" x14ac:dyDescent="0.3">
      <c r="A452" s="103"/>
      <c r="B452" s="105"/>
      <c r="C452" s="105"/>
      <c r="D452" s="107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</row>
    <row r="453" spans="1:14" s="73" customFormat="1" ht="28.8" customHeight="1" x14ac:dyDescent="0.3">
      <c r="A453" s="103"/>
      <c r="B453" s="105"/>
      <c r="C453" s="105"/>
      <c r="D453" s="107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</row>
    <row r="454" spans="1:14" s="73" customFormat="1" ht="28.8" customHeight="1" x14ac:dyDescent="0.3">
      <c r="A454" s="103"/>
      <c r="B454" s="105"/>
      <c r="C454" s="105"/>
      <c r="D454" s="107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</row>
    <row r="455" spans="1:14" s="73" customFormat="1" ht="28.8" customHeight="1" x14ac:dyDescent="0.3">
      <c r="A455" s="103"/>
      <c r="B455" s="105"/>
      <c r="C455" s="105"/>
      <c r="D455" s="107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</row>
    <row r="456" spans="1:14" s="73" customFormat="1" ht="28.8" customHeight="1" x14ac:dyDescent="0.3">
      <c r="A456" s="103"/>
      <c r="B456" s="105"/>
      <c r="C456" s="105"/>
      <c r="D456" s="107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</row>
    <row r="457" spans="1:14" s="73" customFormat="1" ht="28.8" customHeight="1" x14ac:dyDescent="0.3">
      <c r="A457" s="103"/>
      <c r="B457" s="105"/>
      <c r="C457" s="105"/>
      <c r="D457" s="107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</row>
    <row r="458" spans="1:14" s="73" customFormat="1" ht="28.8" customHeight="1" x14ac:dyDescent="0.3">
      <c r="A458" s="103"/>
      <c r="B458" s="105"/>
      <c r="C458" s="105"/>
      <c r="D458" s="107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</row>
    <row r="459" spans="1:14" s="73" customFormat="1" ht="28.8" customHeight="1" x14ac:dyDescent="0.3">
      <c r="A459" s="103"/>
      <c r="B459" s="105"/>
      <c r="C459" s="105"/>
      <c r="D459" s="107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</row>
    <row r="460" spans="1:14" s="73" customFormat="1" ht="28.8" customHeight="1" x14ac:dyDescent="0.3">
      <c r="A460" s="103"/>
      <c r="B460" s="105"/>
      <c r="C460" s="105"/>
      <c r="D460" s="107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</row>
    <row r="461" spans="1:14" s="73" customFormat="1" ht="28.8" customHeight="1" x14ac:dyDescent="0.3">
      <c r="A461" s="103"/>
      <c r="B461" s="105"/>
      <c r="C461" s="105"/>
      <c r="D461" s="107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</row>
    <row r="462" spans="1:14" s="73" customFormat="1" ht="28.8" customHeight="1" x14ac:dyDescent="0.3">
      <c r="A462" s="103"/>
      <c r="B462" s="105"/>
      <c r="C462" s="105"/>
      <c r="D462" s="107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</row>
    <row r="463" spans="1:14" s="73" customFormat="1" ht="28.8" customHeight="1" x14ac:dyDescent="0.3">
      <c r="A463" s="103"/>
      <c r="B463" s="105"/>
      <c r="C463" s="105"/>
      <c r="D463" s="107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</row>
    <row r="464" spans="1:14" s="73" customFormat="1" ht="28.8" customHeight="1" x14ac:dyDescent="0.3">
      <c r="A464" s="103"/>
      <c r="B464" s="105"/>
      <c r="C464" s="105"/>
      <c r="D464" s="107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</row>
    <row r="465" spans="1:14" s="73" customFormat="1" ht="28.8" customHeight="1" x14ac:dyDescent="0.3">
      <c r="A465" s="103"/>
      <c r="B465" s="105"/>
      <c r="C465" s="105"/>
      <c r="D465" s="107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</row>
    <row r="466" spans="1:14" s="73" customFormat="1" ht="28.8" customHeight="1" x14ac:dyDescent="0.3">
      <c r="A466" s="103"/>
      <c r="B466" s="105"/>
      <c r="C466" s="105"/>
      <c r="D466" s="107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</row>
    <row r="467" spans="1:14" s="73" customFormat="1" ht="28.8" customHeight="1" x14ac:dyDescent="0.3">
      <c r="A467" s="103"/>
      <c r="B467" s="105"/>
      <c r="C467" s="105"/>
      <c r="D467" s="107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</row>
    <row r="468" spans="1:14" s="73" customFormat="1" ht="28.8" customHeight="1" x14ac:dyDescent="0.3">
      <c r="A468" s="103"/>
      <c r="B468" s="105"/>
      <c r="C468" s="105"/>
      <c r="D468" s="107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</row>
    <row r="469" spans="1:14" s="73" customFormat="1" ht="28.8" customHeight="1" x14ac:dyDescent="0.3">
      <c r="A469" s="103"/>
      <c r="B469" s="105"/>
      <c r="C469" s="105"/>
      <c r="D469" s="107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</row>
    <row r="470" spans="1:14" s="73" customFormat="1" ht="28.8" customHeight="1" x14ac:dyDescent="0.3">
      <c r="A470" s="103"/>
      <c r="B470" s="105"/>
      <c r="C470" s="105"/>
      <c r="D470" s="107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</row>
    <row r="471" spans="1:14" s="73" customFormat="1" ht="28.8" customHeight="1" x14ac:dyDescent="0.3">
      <c r="A471" s="103"/>
      <c r="B471" s="105"/>
      <c r="C471" s="105"/>
      <c r="D471" s="107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</row>
    <row r="472" spans="1:14" s="73" customFormat="1" ht="28.8" customHeight="1" x14ac:dyDescent="0.3">
      <c r="A472" s="103"/>
      <c r="B472" s="105"/>
      <c r="C472" s="105"/>
      <c r="D472" s="107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</row>
    <row r="473" spans="1:14" s="73" customFormat="1" ht="28.8" customHeight="1" x14ac:dyDescent="0.3">
      <c r="A473" s="103"/>
      <c r="B473" s="105"/>
      <c r="C473" s="105"/>
      <c r="D473" s="107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</row>
    <row r="474" spans="1:14" s="73" customFormat="1" ht="28.8" customHeight="1" x14ac:dyDescent="0.3">
      <c r="A474" s="103"/>
      <c r="B474" s="105"/>
      <c r="C474" s="105"/>
      <c r="D474" s="107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</row>
    <row r="475" spans="1:14" s="73" customFormat="1" ht="28.8" customHeight="1" x14ac:dyDescent="0.3">
      <c r="A475" s="103"/>
      <c r="B475" s="105"/>
      <c r="C475" s="105"/>
      <c r="D475" s="107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</row>
    <row r="476" spans="1:14" s="73" customFormat="1" ht="28.8" customHeight="1" x14ac:dyDescent="0.3">
      <c r="A476" s="103"/>
      <c r="B476" s="105"/>
      <c r="C476" s="105"/>
      <c r="D476" s="107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</row>
    <row r="477" spans="1:14" s="73" customFormat="1" ht="28.8" customHeight="1" x14ac:dyDescent="0.3">
      <c r="A477" s="103"/>
      <c r="B477" s="105"/>
      <c r="C477" s="105"/>
      <c r="D477" s="107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</row>
    <row r="478" spans="1:14" s="73" customFormat="1" ht="28.8" customHeight="1" x14ac:dyDescent="0.3">
      <c r="A478" s="103"/>
      <c r="B478" s="105"/>
      <c r="C478" s="105"/>
      <c r="D478" s="107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</row>
    <row r="479" spans="1:14" s="73" customFormat="1" ht="28.8" customHeight="1" x14ac:dyDescent="0.3">
      <c r="A479" s="103"/>
      <c r="B479" s="105"/>
      <c r="C479" s="105"/>
      <c r="D479" s="107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</row>
    <row r="480" spans="1:14" s="73" customFormat="1" ht="28.8" customHeight="1" x14ac:dyDescent="0.3">
      <c r="A480" s="103"/>
      <c r="B480" s="105"/>
      <c r="C480" s="105"/>
      <c r="D480" s="107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</row>
    <row r="481" spans="1:14" s="73" customFormat="1" ht="28.8" customHeight="1" x14ac:dyDescent="0.3">
      <c r="A481" s="103"/>
      <c r="B481" s="105"/>
      <c r="C481" s="105"/>
      <c r="D481" s="107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</row>
    <row r="482" spans="1:14" s="73" customFormat="1" ht="28.8" customHeight="1" x14ac:dyDescent="0.3">
      <c r="A482" s="103"/>
      <c r="B482" s="105"/>
      <c r="C482" s="105"/>
      <c r="D482" s="107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</row>
    <row r="483" spans="1:14" s="73" customFormat="1" ht="28.8" customHeight="1" x14ac:dyDescent="0.3">
      <c r="A483" s="103"/>
      <c r="B483" s="105"/>
      <c r="C483" s="105"/>
      <c r="D483" s="107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</row>
    <row r="484" spans="1:14" s="73" customFormat="1" ht="28.8" customHeight="1" x14ac:dyDescent="0.3">
      <c r="A484" s="103"/>
      <c r="B484" s="105"/>
      <c r="C484" s="105"/>
      <c r="D484" s="107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</row>
    <row r="485" spans="1:14" s="73" customFormat="1" ht="28.8" customHeight="1" x14ac:dyDescent="0.3">
      <c r="A485" s="103"/>
      <c r="B485" s="105"/>
      <c r="C485" s="105"/>
      <c r="D485" s="107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</row>
    <row r="486" spans="1:14" s="73" customFormat="1" ht="28.8" customHeight="1" x14ac:dyDescent="0.3">
      <c r="A486" s="103"/>
      <c r="B486" s="105"/>
      <c r="C486" s="105"/>
      <c r="D486" s="107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</row>
    <row r="487" spans="1:14" s="73" customFormat="1" ht="28.8" customHeight="1" x14ac:dyDescent="0.3">
      <c r="A487" s="103"/>
      <c r="B487" s="105"/>
      <c r="C487" s="105"/>
      <c r="D487" s="107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</row>
    <row r="488" spans="1:14" s="73" customFormat="1" ht="28.8" customHeight="1" x14ac:dyDescent="0.3">
      <c r="A488" s="103"/>
      <c r="B488" s="105"/>
      <c r="C488" s="105"/>
      <c r="D488" s="107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</row>
    <row r="489" spans="1:14" s="73" customFormat="1" ht="28.8" customHeight="1" x14ac:dyDescent="0.3">
      <c r="A489" s="103"/>
      <c r="B489" s="105"/>
      <c r="C489" s="105"/>
      <c r="D489" s="107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</row>
    <row r="490" spans="1:14" s="73" customFormat="1" ht="28.8" customHeight="1" x14ac:dyDescent="0.3">
      <c r="A490" s="103"/>
      <c r="B490" s="105"/>
      <c r="C490" s="105"/>
      <c r="D490" s="107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</row>
    <row r="491" spans="1:14" s="73" customFormat="1" ht="28.8" customHeight="1" x14ac:dyDescent="0.3">
      <c r="A491" s="103"/>
      <c r="B491" s="105"/>
      <c r="C491" s="105"/>
      <c r="D491" s="107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</row>
    <row r="492" spans="1:14" s="73" customFormat="1" ht="28.8" customHeight="1" x14ac:dyDescent="0.3">
      <c r="A492" s="103"/>
      <c r="B492" s="105"/>
      <c r="C492" s="105"/>
      <c r="D492" s="107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</row>
    <row r="493" spans="1:14" s="73" customFormat="1" ht="28.8" customHeight="1" x14ac:dyDescent="0.3">
      <c r="A493" s="103"/>
      <c r="B493" s="105"/>
      <c r="C493" s="105"/>
      <c r="D493" s="107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</row>
    <row r="494" spans="1:14" s="73" customFormat="1" ht="28.8" customHeight="1" x14ac:dyDescent="0.3">
      <c r="A494" s="103"/>
      <c r="B494" s="105"/>
      <c r="C494" s="105"/>
      <c r="D494" s="107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</row>
    <row r="495" spans="1:14" s="73" customFormat="1" ht="28.8" customHeight="1" x14ac:dyDescent="0.3">
      <c r="A495" s="103"/>
      <c r="B495" s="105"/>
      <c r="C495" s="105"/>
      <c r="D495" s="107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</row>
    <row r="496" spans="1:14" s="73" customFormat="1" ht="28.8" customHeight="1" x14ac:dyDescent="0.3">
      <c r="A496" s="103"/>
      <c r="B496" s="105"/>
      <c r="C496" s="105"/>
      <c r="D496" s="107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</row>
    <row r="497" spans="1:14" s="73" customFormat="1" ht="28.8" customHeight="1" x14ac:dyDescent="0.3">
      <c r="A497" s="103"/>
      <c r="B497" s="105"/>
      <c r="C497" s="105"/>
      <c r="D497" s="107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</row>
    <row r="498" spans="1:14" s="73" customFormat="1" ht="28.8" customHeight="1" x14ac:dyDescent="0.3">
      <c r="A498" s="103"/>
      <c r="B498" s="105"/>
      <c r="C498" s="105"/>
      <c r="D498" s="107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</row>
    <row r="499" spans="1:14" s="73" customFormat="1" ht="28.8" customHeight="1" x14ac:dyDescent="0.3">
      <c r="A499" s="103"/>
      <c r="B499" s="105"/>
      <c r="C499" s="105"/>
      <c r="D499" s="107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</row>
    <row r="500" spans="1:14" s="73" customFormat="1" ht="28.8" customHeight="1" x14ac:dyDescent="0.3">
      <c r="A500" s="103"/>
      <c r="B500" s="105"/>
      <c r="C500" s="105"/>
      <c r="D500" s="107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</row>
    <row r="501" spans="1:14" s="73" customFormat="1" ht="28.8" customHeight="1" x14ac:dyDescent="0.3">
      <c r="A501" s="103"/>
      <c r="B501" s="105"/>
      <c r="C501" s="105"/>
      <c r="D501" s="107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</row>
    <row r="502" spans="1:14" s="73" customFormat="1" ht="28.8" customHeight="1" x14ac:dyDescent="0.3">
      <c r="A502" s="103"/>
      <c r="B502" s="105"/>
      <c r="C502" s="105"/>
      <c r="D502" s="107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</row>
    <row r="503" spans="1:14" s="73" customFormat="1" ht="28.8" customHeight="1" x14ac:dyDescent="0.3">
      <c r="A503" s="103"/>
      <c r="B503" s="105"/>
      <c r="C503" s="105"/>
      <c r="D503" s="107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</row>
    <row r="504" spans="1:14" s="73" customFormat="1" ht="28.8" customHeight="1" x14ac:dyDescent="0.3">
      <c r="A504" s="103"/>
      <c r="B504" s="105"/>
      <c r="C504" s="105"/>
      <c r="D504" s="107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</row>
    <row r="505" spans="1:14" s="73" customFormat="1" ht="28.8" customHeight="1" x14ac:dyDescent="0.3">
      <c r="A505" s="103"/>
      <c r="B505" s="110"/>
      <c r="C505" s="110"/>
      <c r="D505" s="107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</row>
    <row r="506" spans="1:14" s="73" customFormat="1" ht="28.8" customHeight="1" x14ac:dyDescent="0.3">
      <c r="A506" s="103"/>
      <c r="B506" s="110"/>
      <c r="C506" s="110"/>
      <c r="D506" s="107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</row>
    <row r="507" spans="1:14" s="73" customFormat="1" ht="28.8" customHeight="1" x14ac:dyDescent="0.3">
      <c r="A507" s="103"/>
      <c r="B507" s="110"/>
      <c r="C507" s="110"/>
      <c r="D507" s="107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</row>
    <row r="508" spans="1:14" s="73" customFormat="1" ht="28.8" customHeight="1" x14ac:dyDescent="0.3">
      <c r="A508" s="103"/>
      <c r="B508" s="110"/>
      <c r="C508" s="110"/>
      <c r="D508" s="107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</row>
    <row r="509" spans="1:14" s="73" customFormat="1" ht="28.8" customHeight="1" x14ac:dyDescent="0.3">
      <c r="A509" s="103"/>
      <c r="B509" s="110"/>
      <c r="C509" s="110"/>
      <c r="D509" s="107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</row>
    <row r="510" spans="1:14" s="73" customFormat="1" ht="28.8" customHeight="1" x14ac:dyDescent="0.3">
      <c r="A510" s="103"/>
      <c r="B510" s="110"/>
      <c r="C510" s="110"/>
      <c r="D510" s="107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</row>
    <row r="511" spans="1:14" s="73" customFormat="1" ht="28.8" customHeight="1" x14ac:dyDescent="0.3">
      <c r="A511" s="103"/>
      <c r="B511" s="110"/>
      <c r="C511" s="110"/>
      <c r="D511" s="107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</row>
    <row r="512" spans="1:14" s="73" customFormat="1" ht="28.8" customHeight="1" x14ac:dyDescent="0.3">
      <c r="A512" s="108"/>
      <c r="B512" s="110"/>
      <c r="C512" s="110"/>
      <c r="D512" s="109"/>
      <c r="E512" s="110"/>
      <c r="F512" s="110"/>
      <c r="G512" s="110"/>
      <c r="H512" s="110"/>
      <c r="I512" s="110"/>
      <c r="J512" s="110"/>
      <c r="K512" s="110"/>
      <c r="L512" s="110"/>
      <c r="M512" s="110"/>
      <c r="N512" s="110"/>
    </row>
    <row r="513" spans="1:14" ht="28.8" customHeight="1" x14ac:dyDescent="0.3">
      <c r="A513" s="113"/>
      <c r="B513" s="113"/>
      <c r="C513" s="113"/>
      <c r="D513" s="113"/>
      <c r="E513" s="113"/>
      <c r="F513" s="113"/>
      <c r="G513" s="113"/>
      <c r="H513" s="113"/>
      <c r="I513" s="113"/>
      <c r="J513" s="113"/>
      <c r="K513" s="113"/>
      <c r="L513" s="113"/>
      <c r="M513" s="113"/>
      <c r="N513" s="113"/>
    </row>
    <row r="514" spans="1:14" ht="28.95" customHeight="1" x14ac:dyDescent="0.3">
      <c r="C514" s="76"/>
    </row>
    <row r="515" spans="1:14" ht="28.95" customHeight="1" x14ac:dyDescent="0.3">
      <c r="A515" s="78" t="s">
        <v>83</v>
      </c>
      <c r="B515" s="79"/>
      <c r="C515" s="79"/>
      <c r="D515" s="80"/>
      <c r="G515" s="81" t="s">
        <v>35</v>
      </c>
      <c r="H515" s="81"/>
      <c r="I515" s="81"/>
      <c r="J515" s="81"/>
      <c r="K515" s="81"/>
      <c r="L515" s="82"/>
    </row>
    <row r="516" spans="1:14" ht="28.95" customHeight="1" x14ac:dyDescent="0.3">
      <c r="A516" s="70" t="s">
        <v>11</v>
      </c>
      <c r="B516" s="83" t="s">
        <v>21</v>
      </c>
      <c r="C516" s="70" t="s">
        <v>22</v>
      </c>
      <c r="D516" s="83" t="s">
        <v>23</v>
      </c>
      <c r="G516" s="84" t="s">
        <v>36</v>
      </c>
      <c r="H516" s="84" t="s">
        <v>7</v>
      </c>
      <c r="I516" s="84" t="s">
        <v>8</v>
      </c>
      <c r="J516" s="84" t="s">
        <v>9</v>
      </c>
      <c r="K516" s="84" t="s">
        <v>10</v>
      </c>
      <c r="L516" s="82"/>
    </row>
    <row r="517" spans="1:14" ht="28.95" customHeight="1" x14ac:dyDescent="0.3">
      <c r="A517" s="70" t="s">
        <v>24</v>
      </c>
      <c r="B517" s="83" t="s">
        <v>25</v>
      </c>
      <c r="C517" s="70" t="s">
        <v>28</v>
      </c>
      <c r="D517" s="75" t="s">
        <v>29</v>
      </c>
      <c r="G517" s="70" t="s">
        <v>72</v>
      </c>
      <c r="H517" s="75">
        <f>SUM(H7:H440)</f>
        <v>0</v>
      </c>
      <c r="I517" s="75">
        <f>SUM(I7:I440)</f>
        <v>0</v>
      </c>
      <c r="J517" s="75">
        <f>SUM(J7:J440)</f>
        <v>0</v>
      </c>
      <c r="K517" s="75">
        <f>SUM(K7:K440)</f>
        <v>0</v>
      </c>
      <c r="L517" s="85"/>
    </row>
    <row r="518" spans="1:14" ht="28.95" customHeight="1" x14ac:dyDescent="0.3">
      <c r="A518" s="70" t="s">
        <v>7</v>
      </c>
      <c r="B518" s="83" t="s">
        <v>26</v>
      </c>
      <c r="C518" s="70" t="s">
        <v>31</v>
      </c>
      <c r="D518" s="75" t="s">
        <v>32</v>
      </c>
      <c r="G518" s="70" t="s">
        <v>37</v>
      </c>
      <c r="H518" s="75">
        <f>ROUND(H517*1.2,0)</f>
        <v>0</v>
      </c>
      <c r="I518" s="75">
        <f t="shared" ref="I518:K518" si="0">ROUND(I517*1.2,0)</f>
        <v>0</v>
      </c>
      <c r="J518" s="75">
        <f t="shared" si="0"/>
        <v>0</v>
      </c>
      <c r="K518" s="75">
        <f t="shared" si="0"/>
        <v>0</v>
      </c>
      <c r="L518" s="85"/>
    </row>
    <row r="519" spans="1:14" ht="28.95" customHeight="1" x14ac:dyDescent="0.3">
      <c r="A519" s="70" t="s">
        <v>8</v>
      </c>
      <c r="B519" s="83" t="s">
        <v>27</v>
      </c>
      <c r="C519" s="70" t="s">
        <v>20</v>
      </c>
      <c r="D519" s="83" t="s">
        <v>40</v>
      </c>
    </row>
    <row r="520" spans="1:14" ht="28.95" customHeight="1" x14ac:dyDescent="0.3">
      <c r="A520" s="70" t="s">
        <v>9</v>
      </c>
      <c r="B520" s="83" t="s">
        <v>30</v>
      </c>
      <c r="C520" s="70" t="s">
        <v>79</v>
      </c>
      <c r="D520" s="75" t="s">
        <v>80</v>
      </c>
    </row>
    <row r="521" spans="1:14" ht="28.95" customHeight="1" x14ac:dyDescent="0.3">
      <c r="A521" s="70" t="s">
        <v>18</v>
      </c>
      <c r="B521" s="83" t="s">
        <v>34</v>
      </c>
      <c r="C521" s="70" t="s">
        <v>19</v>
      </c>
      <c r="D521" s="83" t="s">
        <v>33</v>
      </c>
    </row>
    <row r="522" spans="1:14" ht="28.95" customHeight="1" x14ac:dyDescent="0.3">
      <c r="A522" s="70" t="s">
        <v>38</v>
      </c>
      <c r="B522" s="83" t="s">
        <v>39</v>
      </c>
      <c r="C522" s="70" t="s">
        <v>41</v>
      </c>
      <c r="D522" s="83" t="s">
        <v>42</v>
      </c>
    </row>
    <row r="523" spans="1:14" ht="28.95" customHeight="1" x14ac:dyDescent="0.3">
      <c r="A523" s="70" t="s">
        <v>73</v>
      </c>
      <c r="B523" s="83" t="s">
        <v>74</v>
      </c>
      <c r="C523" s="70" t="s">
        <v>76</v>
      </c>
      <c r="D523" s="83" t="s">
        <v>75</v>
      </c>
    </row>
    <row r="524" spans="1:14" ht="28.95" customHeight="1" x14ac:dyDescent="0.3">
      <c r="A524" s="70" t="s">
        <v>77</v>
      </c>
      <c r="B524" s="83" t="s">
        <v>78</v>
      </c>
      <c r="C524" s="70" t="s">
        <v>81</v>
      </c>
      <c r="D524" s="83" t="s">
        <v>82</v>
      </c>
    </row>
    <row r="525" spans="1:14" ht="28.95" customHeight="1" x14ac:dyDescent="0.3">
      <c r="A525" s="70" t="s">
        <v>85</v>
      </c>
      <c r="B525" s="83" t="s">
        <v>86</v>
      </c>
      <c r="C525" s="70" t="s">
        <v>84</v>
      </c>
      <c r="D525" s="83" t="s">
        <v>87</v>
      </c>
    </row>
  </sheetData>
  <autoFilter ref="A5:N513" xr:uid="{00000000-0001-0000-0000-000000000000}"/>
  <mergeCells count="22">
    <mergeCell ref="N4:N5"/>
    <mergeCell ref="G4:G5"/>
    <mergeCell ref="M4:M5"/>
    <mergeCell ref="F4:F5"/>
    <mergeCell ref="H4:K4"/>
    <mergeCell ref="E4:E5"/>
    <mergeCell ref="L4:L5"/>
    <mergeCell ref="M3:N3"/>
    <mergeCell ref="B4:B5"/>
    <mergeCell ref="C4:C5"/>
    <mergeCell ref="D4:D5"/>
    <mergeCell ref="M1:N1"/>
    <mergeCell ref="A3:C3"/>
    <mergeCell ref="D1:K1"/>
    <mergeCell ref="D2:K2"/>
    <mergeCell ref="D3:K3"/>
    <mergeCell ref="A1:C1"/>
    <mergeCell ref="A4:A5"/>
    <mergeCell ref="M2:N2"/>
    <mergeCell ref="B2:C2"/>
    <mergeCell ref="A515:D515"/>
    <mergeCell ref="G515:K515"/>
  </mergeCells>
  <phoneticPr fontId="1" type="noConversion"/>
  <printOptions horizontalCentered="1"/>
  <pageMargins left="0.39370078740157483" right="0.39370078740157483" top="0.39370078740157483" bottom="0.47244094488188976" header="0.31496062992125984" footer="0.31496062992125984"/>
  <pageSetup paperSize="8" scale="56" fitToHeight="0" orientation="landscape" r:id="rId1"/>
  <headerFooter>
    <oddFooter>&amp;L&amp;1#&amp;"Calibri,Regular"&amp;8&amp;K000000Sensitivity: LNT Construction Internal Use&amp;CPage &amp;P-1 of &amp;N-1&amp;R&amp;8Designed by: GP</oddFooter>
  </headerFooter>
  <rowBreaks count="11" manualBreakCount="11">
    <brk id="116" max="12" man="1"/>
    <brk id="188" max="12" man="1"/>
    <brk id="223" max="12" man="1"/>
    <brk id="259" max="12" man="1"/>
    <brk id="295" max="12" man="1"/>
    <brk id="329" max="12" man="1"/>
    <brk id="367" max="12" man="1"/>
    <brk id="407" max="13" man="1"/>
    <brk id="440" max="13" man="1"/>
    <brk id="482" max="13" man="1"/>
    <brk id="513" max="12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Cover</vt:lpstr>
      <vt:lpstr>IO List</vt:lpstr>
      <vt:lpstr>Cover!Print_Area</vt:lpstr>
      <vt:lpstr>'IO List'!Print_Area</vt:lpstr>
      <vt:lpstr>'IO List'!Print_Titles</vt:lpstr>
    </vt:vector>
  </TitlesOfParts>
  <Company>LNT ECC DIV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Guruprasad</dc:creator>
  <cp:lastModifiedBy>MOHD ZAID KHAN</cp:lastModifiedBy>
  <cp:lastPrinted>2026-04-16T09:24:02Z</cp:lastPrinted>
  <dcterms:created xsi:type="dcterms:W3CDTF">2013-11-16T05:58:01Z</dcterms:created>
  <dcterms:modified xsi:type="dcterms:W3CDTF">2026-04-16T12:23:56Z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52bb50-aef2-4dc8-bb7f-e0da22648362_Enabled">
    <vt:lpwstr>True</vt:lpwstr>
  </property>
  <property fmtid="{D5CDD505-2E9C-101B-9397-08002B2CF9AE}" pid="3" name="MSIP_Label_ac52bb50-aef2-4dc8-bb7f-e0da22648362_SiteId">
    <vt:lpwstr>264b9899-fe1b-430b-9509-2154878d5774</vt:lpwstr>
  </property>
  <property fmtid="{D5CDD505-2E9C-101B-9397-08002B2CF9AE}" pid="4" name="MSIP_Label_ac52bb50-aef2-4dc8-bb7f-e0da22648362_Owner">
    <vt:lpwstr>G-PRASAD@lntecc.com</vt:lpwstr>
  </property>
  <property fmtid="{D5CDD505-2E9C-101B-9397-08002B2CF9AE}" pid="5" name="MSIP_Label_ac52bb50-aef2-4dc8-bb7f-e0da22648362_SetDate">
    <vt:lpwstr>2020-12-29T09:30:03.2378285Z</vt:lpwstr>
  </property>
  <property fmtid="{D5CDD505-2E9C-101B-9397-08002B2CF9AE}" pid="6" name="MSIP_Label_ac52bb50-aef2-4dc8-bb7f-e0da22648362_Name">
    <vt:lpwstr>LTC Internal Use</vt:lpwstr>
  </property>
  <property fmtid="{D5CDD505-2E9C-101B-9397-08002B2CF9AE}" pid="7" name="MSIP_Label_ac52bb50-aef2-4dc8-bb7f-e0da22648362_Application">
    <vt:lpwstr>Microsoft Azure Information Protection</vt:lpwstr>
  </property>
  <property fmtid="{D5CDD505-2E9C-101B-9397-08002B2CF9AE}" pid="8" name="MSIP_Label_ac52bb50-aef2-4dc8-bb7f-e0da22648362_ActionId">
    <vt:lpwstr>37a8d053-f91a-4f5c-861d-54408b3f887d</vt:lpwstr>
  </property>
  <property fmtid="{D5CDD505-2E9C-101B-9397-08002B2CF9AE}" pid="9" name="MSIP_Label_ac52bb50-aef2-4dc8-bb7f-e0da22648362_Extended_MSFT_Method">
    <vt:lpwstr>Automatic</vt:lpwstr>
  </property>
  <property fmtid="{D5CDD505-2E9C-101B-9397-08002B2CF9AE}" pid="10" name="Sensitivity">
    <vt:lpwstr>LTC Internal Use</vt:lpwstr>
  </property>
</Properties>
</file>