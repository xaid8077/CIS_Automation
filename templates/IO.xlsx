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CIS_Automation\Program_V3\templates\"/>
    </mc:Choice>
  </mc:AlternateContent>
  <xr:revisionPtr revIDLastSave="0" documentId="13_ncr:1_{1D227648-5278-4C7E-BC73-7A70EA509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0" r:id="rId1"/>
    <sheet name="IO List" sheetId="7" r:id="rId2"/>
  </sheets>
  <definedNames>
    <definedName name="_xlnm._FilterDatabase" localSheetId="1" hidden="1">'IO List'!$A$5:$N$513</definedName>
    <definedName name="_xlnm.Print_Area" localSheetId="0">Cover!$A$1:$AF$50</definedName>
    <definedName name="_xlnm.Print_Area" localSheetId="1">'IO List'!$A$1:$N$503</definedName>
    <definedName name="_xlnm.Print_Titles" localSheetId="1">'IO List'!$1:$5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7" i="10" l="1"/>
  <c r="D43" i="10" a="1"/>
  <c r="D43" i="10" s="1"/>
  <c r="A3" i="7"/>
  <c r="B2" i="7"/>
  <c r="H39" i="10"/>
  <c r="B28" i="10" s="1"/>
  <c r="L2" i="7"/>
  <c r="D3" i="7"/>
  <c r="D1" i="7"/>
  <c r="AD29" i="10"/>
  <c r="D41" i="10" s="1"/>
  <c r="AB29" i="10"/>
  <c r="D40" i="10" s="1"/>
  <c r="Z29" i="10"/>
  <c r="D39" i="10" s="1"/>
  <c r="F33" i="10"/>
  <c r="F34" i="10"/>
  <c r="F35" i="10"/>
  <c r="J38" i="10"/>
  <c r="D2" i="7" s="1"/>
  <c r="AE43" i="10"/>
  <c r="F28" i="10" s="1"/>
  <c r="H40" i="10" l="1"/>
  <c r="H41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<sst xmlns="http://schemas.openxmlformats.org/spreadsheetml/2006/main" count="64" uniqueCount="60">
  <si>
    <t>LTCD-WET-EDRC-C&amp;I</t>
  </si>
  <si>
    <t>SERVICE   DESCRIPTION</t>
  </si>
  <si>
    <t>SOURCE</t>
  </si>
  <si>
    <t>TARGET</t>
  </si>
  <si>
    <t>SIGNAL TYPE</t>
  </si>
  <si>
    <t>REMARKS</t>
  </si>
  <si>
    <t xml:space="preserve"> REF. P&amp;ID NO</t>
  </si>
  <si>
    <t>DI</t>
  </si>
  <si>
    <t>DO</t>
  </si>
  <si>
    <t>AI</t>
  </si>
  <si>
    <t>AO</t>
  </si>
  <si>
    <t>ALARM ANNUNCIATION SIGNAL</t>
  </si>
  <si>
    <t>SERVICE DESCRIPTION</t>
  </si>
  <si>
    <t>INSTRUMENT
DESCRIPTION</t>
  </si>
  <si>
    <t>S. NO</t>
  </si>
  <si>
    <t xml:space="preserve">CLIENT </t>
  </si>
  <si>
    <t>FOR APPROVAL</t>
  </si>
  <si>
    <t>DATE</t>
  </si>
  <si>
    <t>REV. NO.</t>
  </si>
  <si>
    <t>DESCRIPTION</t>
  </si>
  <si>
    <t>PREPARED</t>
  </si>
  <si>
    <t>CHECKED</t>
  </si>
  <si>
    <t>APPROVED</t>
  </si>
  <si>
    <t>L&amp;T CONSTRUCTION - WATER &amp; EFFLUENT TREATMENT IC</t>
  </si>
  <si>
    <t>JOB NO</t>
  </si>
  <si>
    <t>TITLE :</t>
  </si>
  <si>
    <t>NAME</t>
  </si>
  <si>
    <t>SIGN</t>
  </si>
  <si>
    <t>PRED</t>
  </si>
  <si>
    <t>CHKD</t>
  </si>
  <si>
    <t>APPD</t>
  </si>
  <si>
    <t>SIZE</t>
  </si>
  <si>
    <t>REV.</t>
  </si>
  <si>
    <t>DOC.No.</t>
  </si>
  <si>
    <t>A3</t>
  </si>
  <si>
    <t>RELEASED FOR</t>
  </si>
  <si>
    <t xml:space="preserve">  PRELIMINARY</t>
  </si>
  <si>
    <t>TENDER</t>
  </si>
  <si>
    <t>INFORMATION</t>
  </si>
  <si>
    <t>APPROVAL</t>
  </si>
  <si>
    <t>CONSTRUCTION</t>
  </si>
  <si>
    <t>CLIENT</t>
  </si>
  <si>
    <t>PROJECT</t>
  </si>
  <si>
    <t>SUPPLIER/ CONTRACTOR</t>
  </si>
  <si>
    <t>CONSULTANT</t>
  </si>
  <si>
    <t>RTD SIGNAL</t>
  </si>
  <si>
    <r>
      <t xml:space="preserve">This document is the property of </t>
    </r>
    <r>
      <rPr>
        <b/>
        <sz val="11"/>
        <rFont val="Aptos"/>
        <family val="2"/>
      </rPr>
      <t xml:space="preserve">Larsen &amp; Toubro Limited, </t>
    </r>
    <r>
      <rPr>
        <sz val="11"/>
        <rFont val="Aptos"/>
        <family val="2"/>
      </rPr>
      <t>ECC Division - EDRC and must not be passed on to any third person or firm not authorised by us, nor be copied/made use of in full or part by such person or firm without our prior permission writing</t>
    </r>
  </si>
  <si>
    <t>Date:</t>
  </si>
  <si>
    <t>Prepared by:</t>
  </si>
  <si>
    <t>Checked by:</t>
  </si>
  <si>
    <t>Approved by:</t>
  </si>
  <si>
    <t>Rev:</t>
  </si>
  <si>
    <t>Project:</t>
  </si>
  <si>
    <t>Client:</t>
  </si>
  <si>
    <t>Consultant:</t>
  </si>
  <si>
    <t>Document No:</t>
  </si>
  <si>
    <t>Location:</t>
  </si>
  <si>
    <t>✓</t>
  </si>
  <si>
    <t xml:space="preserve">Ref: </t>
  </si>
  <si>
    <t>INSTRUMENT TAG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</si>
</sst>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ptos"/>
      <family val="2"/>
    </font>
    <font>
      <b/>
      <sz val="12"/>
      <name val="Aptos"/>
      <family val="2"/>
    </font>
    <font>
      <b/>
      <sz val="11"/>
      <name val="Aptos"/>
      <family val="2"/>
    </font>
    <font>
      <b/>
      <sz val="14"/>
      <name val="Aptos"/>
      <family val="2"/>
    </font>
    <font>
      <sz val="10"/>
      <name val="Aptos"/>
      <family val="2"/>
    </font>
    <font>
      <sz val="9"/>
      <name val="Aptos"/>
      <family val="2"/>
    </font>
    <font>
      <b/>
      <sz val="10"/>
      <name val="Aptos"/>
      <family val="2"/>
    </font>
    <font>
      <b/>
      <sz val="9"/>
      <name val="Aptos"/>
      <family val="2"/>
    </font>
    <font>
      <sz val="11"/>
      <name val="Aptos"/>
      <family val="2"/>
    </font>
    <font>
      <b/>
      <sz val="12"/>
      <name val="Amasis MT Pro Black"/>
      <family val="1"/>
    </font>
    <font>
      <sz val="18"/>
      <name val="Aptos"/>
      <family val="2"/>
    </font>
    <font>
      <b/>
      <sz val="18"/>
      <name val="Aptos"/>
      <family val="2"/>
    </font>
    <font>
      <sz val="18"/>
      <color theme="1"/>
      <name val="Aptos"/>
      <family val="2"/>
    </font>
    <font>
      <b/>
      <sz val="18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9">
    <xf numFmtId="0" fontId="0" fillId="0" borderId="0" xfId="0"/>
    <xf numFmtId="0" fontId="4" fillId="0" borderId="14" xfId="2" applyFont="1" applyBorder="1" applyAlignment="1" applyProtection="1">
      <alignment vertical="center"/>
      <protection locked="0"/>
    </xf>
    <xf numFmtId="0" fontId="4" fillId="0" borderId="15" xfId="2" applyFont="1" applyBorder="1" applyAlignment="1" applyProtection="1">
      <alignment vertical="center"/>
      <protection locked="0"/>
    </xf>
    <xf numFmtId="0" fontId="4" fillId="0" borderId="0" xfId="2" applyFont="1" applyAlignment="1" applyProtection="1">
      <alignment vertical="center"/>
      <protection locked="0"/>
    </xf>
    <xf numFmtId="0" fontId="4" fillId="0" borderId="10" xfId="2" applyFont="1" applyBorder="1" applyAlignment="1" applyProtection="1">
      <alignment vertical="center"/>
      <protection locked="0"/>
    </xf>
    <xf numFmtId="0" fontId="4" fillId="0" borderId="11" xfId="2" applyFont="1" applyBorder="1" applyAlignment="1" applyProtection="1">
      <alignment vertical="center"/>
      <protection locked="0"/>
    </xf>
    <xf numFmtId="0" fontId="4" fillId="0" borderId="7" xfId="2" applyFont="1" applyBorder="1" applyAlignment="1" applyProtection="1">
      <alignment vertical="center"/>
      <protection locked="0"/>
    </xf>
    <xf numFmtId="0" fontId="4" fillId="0" borderId="17" xfId="2" applyFont="1" applyBorder="1" applyAlignment="1" applyProtection="1">
      <alignment vertical="center"/>
      <protection locked="0"/>
    </xf>
    <xf numFmtId="0" fontId="4" fillId="0" borderId="8" xfId="2" applyFont="1" applyBorder="1" applyAlignment="1" applyProtection="1">
      <alignment vertical="center"/>
      <protection locked="0"/>
    </xf>
    <xf numFmtId="0" fontId="4" fillId="0" borderId="9" xfId="2" applyFont="1" applyBorder="1" applyAlignment="1" applyProtection="1">
      <alignment vertical="center"/>
      <protection locked="0"/>
    </xf>
    <xf numFmtId="0" fontId="4" fillId="0" borderId="20" xfId="2" applyFont="1" applyBorder="1" applyAlignment="1" applyProtection="1">
      <alignment vertical="center"/>
      <protection locked="0"/>
    </xf>
    <xf numFmtId="0" fontId="4" fillId="0" borderId="21" xfId="2" applyFont="1" applyBorder="1" applyAlignment="1" applyProtection="1">
      <alignment vertical="center"/>
      <protection locked="0"/>
    </xf>
    <xf numFmtId="0" fontId="4" fillId="0" borderId="8" xfId="2" applyFont="1" applyBorder="1" applyAlignment="1" applyProtection="1">
      <alignment horizontal="center" vertical="center"/>
      <protection locked="0"/>
    </xf>
    <xf numFmtId="0" fontId="8" fillId="0" borderId="19" xfId="2" applyFont="1" applyBorder="1" applyAlignment="1" applyProtection="1">
      <alignment horizontal="justify" vertical="justify" textRotation="90" wrapText="1"/>
      <protection locked="0"/>
    </xf>
    <xf numFmtId="0" fontId="5" fillId="0" borderId="8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4" fillId="0" borderId="5" xfId="2" applyFont="1" applyBorder="1" applyAlignment="1" applyProtection="1">
      <alignment horizontal="center" vertical="center" shrinkToFit="1"/>
      <protection locked="0"/>
    </xf>
    <xf numFmtId="0" fontId="4" fillId="0" borderId="9" xfId="2" applyFont="1" applyBorder="1" applyAlignment="1" applyProtection="1">
      <alignment horizontal="left" vertical="center"/>
      <protection locked="0"/>
    </xf>
    <xf numFmtId="0" fontId="4" fillId="0" borderId="1" xfId="2" applyFont="1" applyBorder="1" applyAlignment="1" applyProtection="1">
      <alignment vertical="center"/>
      <protection locked="0"/>
    </xf>
    <xf numFmtId="0" fontId="4" fillId="0" borderId="2" xfId="2" applyFont="1" applyBorder="1" applyAlignment="1" applyProtection="1">
      <alignment vertical="center"/>
      <protection locked="0"/>
    </xf>
    <xf numFmtId="0" fontId="4" fillId="0" borderId="12" xfId="2" applyFont="1" applyBorder="1" applyAlignment="1" applyProtection="1">
      <alignment vertical="center"/>
      <protection locked="0"/>
    </xf>
    <xf numFmtId="0" fontId="4" fillId="0" borderId="1" xfId="2" applyFont="1" applyBorder="1" applyAlignment="1" applyProtection="1">
      <alignment horizontal="center" vertical="center"/>
      <protection locked="0"/>
    </xf>
    <xf numFmtId="0" fontId="4" fillId="0" borderId="12" xfId="2" applyFont="1" applyBorder="1" applyAlignment="1" applyProtection="1">
      <alignment horizontal="center" vertical="center"/>
      <protection locked="0"/>
    </xf>
    <xf numFmtId="0" fontId="10" fillId="0" borderId="1" xfId="2" applyFont="1" applyBorder="1" applyAlignment="1" applyProtection="1">
      <alignment horizontal="center" vertical="center"/>
      <protection locked="0"/>
    </xf>
    <xf numFmtId="0" fontId="10" fillId="0" borderId="12" xfId="2" applyFont="1" applyBorder="1" applyAlignment="1" applyProtection="1">
      <alignment horizontal="center" vertical="center"/>
      <protection locked="0"/>
    </xf>
    <xf numFmtId="0" fontId="8" fillId="0" borderId="0" xfId="2" applyFont="1" applyAlignment="1" applyProtection="1">
      <alignment vertical="center"/>
      <protection locked="0"/>
    </xf>
    <xf numFmtId="0" fontId="4" fillId="0" borderId="5" xfId="2" applyFont="1" applyBorder="1" applyAlignment="1" applyProtection="1">
      <alignment vertical="center"/>
      <protection locked="0"/>
    </xf>
    <xf numFmtId="0" fontId="10" fillId="0" borderId="0" xfId="2" applyFont="1" applyAlignment="1">
      <alignment vertical="center"/>
    </xf>
    <xf numFmtId="0" fontId="11" fillId="0" borderId="0" xfId="2" applyFont="1" applyAlignment="1" applyProtection="1">
      <alignment vertical="center"/>
      <protection locked="0"/>
    </xf>
    <xf numFmtId="0" fontId="11" fillId="0" borderId="9" xfId="2" applyFont="1" applyBorder="1" applyAlignment="1" applyProtection="1">
      <alignment vertical="center"/>
      <protection locked="0"/>
    </xf>
    <xf numFmtId="0" fontId="11" fillId="0" borderId="8" xfId="2" applyFont="1" applyBorder="1" applyAlignment="1" applyProtection="1">
      <alignment vertical="center"/>
      <protection locked="0"/>
    </xf>
    <xf numFmtId="0" fontId="13" fillId="0" borderId="5" xfId="2" applyFont="1" applyBorder="1" applyAlignment="1" applyProtection="1">
      <alignment horizontal="center" vertical="center"/>
      <protection locked="0"/>
    </xf>
    <xf numFmtId="0" fontId="8" fillId="0" borderId="8" xfId="2" applyFont="1" applyBorder="1" applyAlignment="1" applyProtection="1">
      <alignment vertical="center"/>
      <protection locked="0"/>
    </xf>
    <xf numFmtId="0" fontId="8" fillId="0" borderId="1" xfId="2" applyFont="1" applyBorder="1" applyAlignment="1" applyProtection="1">
      <alignment vertical="center"/>
      <protection locked="0"/>
    </xf>
    <xf numFmtId="0" fontId="8" fillId="0" borderId="2" xfId="2" applyFont="1" applyBorder="1" applyAlignment="1" applyProtection="1">
      <alignment vertical="center"/>
      <protection locked="0"/>
    </xf>
    <xf numFmtId="0" fontId="8" fillId="0" borderId="12" xfId="2" applyFont="1" applyBorder="1" applyAlignment="1" applyProtection="1">
      <alignment vertical="center"/>
      <protection locked="0"/>
    </xf>
    <xf numFmtId="0" fontId="4" fillId="0" borderId="22" xfId="2" applyFont="1" applyBorder="1" applyAlignment="1" applyProtection="1">
      <alignment vertical="center"/>
      <protection locked="0"/>
    </xf>
    <xf numFmtId="22" fontId="4" fillId="0" borderId="8" xfId="2" applyNumberFormat="1" applyFont="1" applyBorder="1" applyAlignment="1" applyProtection="1">
      <alignment vertical="center"/>
      <protection locked="0"/>
    </xf>
    <xf numFmtId="22" fontId="4" fillId="0" borderId="0" xfId="2" applyNumberFormat="1" applyFont="1" applyAlignment="1" applyProtection="1">
      <alignment vertical="center"/>
      <protection locked="0"/>
    </xf>
    <xf numFmtId="14" fontId="14" fillId="0" borderId="15" xfId="2" applyNumberFormat="1" applyFont="1" applyBorder="1" applyAlignment="1" applyProtection="1">
      <alignment vertical="center"/>
      <protection locked="0"/>
    </xf>
    <xf numFmtId="0" fontId="14" fillId="0" borderId="17" xfId="2" applyFont="1" applyBorder="1" applyAlignment="1" applyProtection="1">
      <alignment vertical="center"/>
      <protection locked="0"/>
    </xf>
    <xf numFmtId="0" fontId="14" fillId="0" borderId="21" xfId="2" applyFont="1" applyBorder="1" applyAlignment="1" applyProtection="1">
      <alignment vertical="center"/>
      <protection locked="0"/>
    </xf>
    <xf numFmtId="0" fontId="16" fillId="0" borderId="0" xfId="0" applyFont="1"/>
    <xf numFmtId="0" fontId="15" fillId="0" borderId="5" xfId="0" applyFont="1" applyBorder="1" applyAlignment="1">
      <alignment vertical="center" wrapText="1"/>
    </xf>
    <xf numFmtId="49" fontId="15" fillId="3" borderId="5" xfId="0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16" fillId="2" borderId="0" xfId="0" applyFont="1" applyFill="1"/>
    <xf numFmtId="0" fontId="14" fillId="2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2" fillId="0" borderId="13" xfId="2" applyFont="1" applyBorder="1" applyAlignment="1">
      <alignment horizontal="center" vertical="justify" textRotation="90" wrapText="1"/>
    </xf>
    <xf numFmtId="0" fontId="12" fillId="0" borderId="16" xfId="2" applyFont="1" applyBorder="1" applyAlignment="1">
      <alignment horizontal="center" vertical="justify" textRotation="90" wrapText="1"/>
    </xf>
    <xf numFmtId="165" fontId="4" fillId="0" borderId="5" xfId="2" applyNumberFormat="1" applyFont="1" applyBorder="1" applyAlignment="1" applyProtection="1">
      <alignment horizontal="center" vertical="center"/>
      <protection locked="0"/>
    </xf>
    <xf numFmtId="0" fontId="4" fillId="0" borderId="5" xfId="2" applyFont="1" applyBorder="1" applyAlignment="1" applyProtection="1">
      <alignment horizontal="center" vertical="center"/>
      <protection locked="0"/>
    </xf>
    <xf numFmtId="0" fontId="5" fillId="0" borderId="5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5" fillId="0" borderId="5" xfId="2" applyFont="1" applyBorder="1" applyAlignment="1" applyProtection="1">
      <alignment horizontal="center" vertical="center" wrapText="1"/>
      <protection locked="0"/>
    </xf>
    <xf numFmtId="0" fontId="4" fillId="0" borderId="5" xfId="2" applyFont="1" applyBorder="1" applyAlignment="1" applyProtection="1">
      <alignment horizontal="center" vertical="center" wrapText="1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4" fillId="0" borderId="9" xfId="2" applyFont="1" applyBorder="1" applyAlignment="1" applyProtection="1">
      <alignment horizontal="center" vertical="center"/>
      <protection locked="0"/>
    </xf>
    <xf numFmtId="0" fontId="5" fillId="0" borderId="8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5" xfId="2" applyFont="1" applyBorder="1" applyAlignment="1" applyProtection="1">
      <alignment horizontal="center" vertical="center"/>
      <protection locked="0"/>
    </xf>
    <xf numFmtId="0" fontId="5" fillId="0" borderId="5" xfId="2" applyFont="1" applyBorder="1" applyAlignment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  <protection locked="0"/>
    </xf>
    <xf numFmtId="0" fontId="9" fillId="0" borderId="5" xfId="2" quotePrefix="1" applyFont="1" applyBorder="1" applyAlignment="1" applyProtection="1">
      <alignment horizontal="center" vertical="center"/>
      <protection locked="0"/>
    </xf>
    <xf numFmtId="0" fontId="9" fillId="0" borderId="5" xfId="2" applyFont="1" applyBorder="1" applyAlignment="1" applyProtection="1">
      <alignment horizontal="center" vertical="center"/>
      <protection locked="0"/>
    </xf>
    <xf numFmtId="164" fontId="4" fillId="0" borderId="5" xfId="2" applyNumberFormat="1" applyFont="1" applyBorder="1" applyAlignment="1" applyProtection="1">
      <alignment horizontal="center" vertical="center"/>
      <protection locked="0"/>
    </xf>
    <xf numFmtId="15" fontId="4" fillId="0" borderId="8" xfId="2" applyNumberFormat="1" applyFont="1" applyBorder="1" applyAlignment="1" applyProtection="1">
      <alignment horizontal="center" vertical="center"/>
      <protection locked="0"/>
    </xf>
    <xf numFmtId="0" fontId="6" fillId="0" borderId="5" xfId="2" applyFont="1" applyBorder="1" applyAlignment="1">
      <alignment horizontal="center" vertical="center"/>
    </xf>
    <xf numFmtId="0" fontId="4" fillId="0" borderId="5" xfId="2" quotePrefix="1" applyFont="1" applyBorder="1" applyAlignment="1" applyProtection="1">
      <alignment horizontal="left" vertical="center"/>
      <protection locked="0"/>
    </xf>
    <xf numFmtId="0" fontId="4" fillId="0" borderId="5" xfId="2" applyFont="1" applyBorder="1" applyAlignment="1" applyProtection="1">
      <alignment horizontal="left" vertical="center"/>
      <protection locked="0"/>
    </xf>
    <xf numFmtId="0" fontId="4" fillId="0" borderId="5" xfId="2" quotePrefix="1" applyFont="1" applyBorder="1" applyAlignment="1" applyProtection="1">
      <alignment horizontal="center" vertical="center"/>
      <protection locked="0"/>
    </xf>
    <xf numFmtId="0" fontId="15" fillId="3" borderId="5" xfId="0" applyFont="1" applyFill="1" applyBorder="1" applyAlignment="1">
      <alignment horizontal="center" vertical="center" wrapText="1"/>
    </xf>
    <xf numFmtId="49" fontId="15" fillId="3" borderId="5" xfId="0" quotePrefix="1" applyNumberFormat="1" applyFont="1" applyFill="1" applyBorder="1" applyAlignment="1">
      <alignment horizontal="center" vertical="center" wrapText="1"/>
    </xf>
    <xf numFmtId="49" fontId="15" fillId="3" borderId="5" xfId="0" applyNumberFormat="1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5" fillId="0" borderId="5" xfId="0" quotePrefix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8" xfId="2" applyFont="1" applyBorder="1" applyAlignment="1" applyProtection="1">
      <alignment horizontal="right" vertical="center"/>
      <protection locked="0"/>
    </xf>
    <xf numFmtId="0" fontId="15" fillId="0" borderId="19" xfId="2" applyFont="1" applyBorder="1" applyAlignment="1" applyProtection="1">
      <alignment horizontal="right" vertical="center"/>
      <protection locked="0"/>
    </xf>
    <xf numFmtId="0" fontId="15" fillId="0" borderId="20" xfId="2" applyFont="1" applyBorder="1" applyAlignment="1" applyProtection="1">
      <alignment horizontal="right" vertical="center"/>
      <protection locked="0"/>
    </xf>
  </cellXfs>
  <cellStyles count="3">
    <cellStyle name="Normal" xfId="0" builtinId="0"/>
    <cellStyle name="Normal 2" xfId="1" xr:uid="{4FC506D4-B4F8-4376-9899-D81600B493F3}"/>
    <cellStyle name="Normal 3" xfId="2" xr:uid="{FA28D6E3-1CDC-42D0-809A-50F61DFDCB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63</xdr:row>
      <xdr:rowOff>0</xdr:rowOff>
    </xdr:from>
    <xdr:to>
      <xdr:col>12</xdr:col>
      <xdr:colOff>304800</xdr:colOff>
      <xdr:row>63</xdr:row>
      <xdr:rowOff>320094</xdr:rowOff>
    </xdr:to>
    <xdr:sp macro="" textlink="">
      <xdr:nvSpPr>
        <xdr:cNvPr id="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45637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77</xdr:row>
      <xdr:rowOff>0</xdr:rowOff>
    </xdr:from>
    <xdr:ext cx="304800" cy="311150"/>
    <xdr:sp macro="" textlink="">
      <xdr:nvSpPr>
        <xdr:cNvPr id="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2307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98977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25647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52317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83559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30756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331565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35480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3776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4005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42338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4462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4767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50720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53768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5681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5986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6291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65198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6748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69770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7205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317</xdr:row>
      <xdr:rowOff>0</xdr:rowOff>
    </xdr:from>
    <xdr:ext cx="304800" cy="311150"/>
    <xdr:sp macro="" textlink="">
      <xdr:nvSpPr>
        <xdr:cNvPr id="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7434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76628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7891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81200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8348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8577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88058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9034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92630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9491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9720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13204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2501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27682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3034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33016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3568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3873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41017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4330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4558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987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8216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8445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4787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5092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5397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5701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60067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6311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6616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6844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073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302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5307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7759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86737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8902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9130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9359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9588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198167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0045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02739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05025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07311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1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4277975" y="2233136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FF054C-69AB-4B41-BAF4-303F8286687A}"/>
            </a:ext>
          </a:extLst>
        </xdr:cNvPr>
        <xdr:cNvSpPr>
          <a:spLocks noChangeAspect="1" noChangeArrowheads="1"/>
        </xdr:cNvSpPr>
      </xdr:nvSpPr>
      <xdr:spPr bwMode="auto">
        <a:xfrm>
          <a:off x="13830300" y="2010727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8E769A-667A-4D5B-B415-15479DA32EFD}"/>
            </a:ext>
          </a:extLst>
        </xdr:cNvPr>
        <xdr:cNvSpPr>
          <a:spLocks noChangeAspect="1" noChangeArrowheads="1"/>
        </xdr:cNvSpPr>
      </xdr:nvSpPr>
      <xdr:spPr bwMode="auto">
        <a:xfrm>
          <a:off x="14830425" y="490823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CB9F386-8E9D-48CD-A18A-A306721A1C45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2AE619-A3B1-46DE-AFBA-87D614B380FB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1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75555F-320A-4AE9-94DC-8D4314AAC62F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1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A64706-B447-4FC2-A582-6C92E75EA083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1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73B522-9698-41D7-93B0-3894304152CB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1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82C82B-3EED-4F91-B40A-713A19C734B6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1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CDA8C0B-7089-40C1-8E92-4252D562071C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1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A801F8-E368-4E0D-A746-C5E42776533F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1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9F06A6-1C95-42BA-B6F9-746193A9E7E3}"/>
            </a:ext>
          </a:extLst>
        </xdr:cNvPr>
        <xdr:cNvSpPr>
          <a:spLocks noChangeAspect="1" noChangeArrowheads="1"/>
        </xdr:cNvSpPr>
      </xdr:nvSpPr>
      <xdr:spPr bwMode="auto">
        <a:xfrm>
          <a:off x="15013781" y="6474618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F7BD787-9274-4817-9F90-4404DA41CCA5}"/>
            </a:ext>
          </a:extLst>
        </xdr:cNvPr>
        <xdr:cNvSpPr>
          <a:spLocks noChangeAspect="1" noChangeArrowheads="1"/>
        </xdr:cNvSpPr>
      </xdr:nvSpPr>
      <xdr:spPr bwMode="auto">
        <a:xfrm>
          <a:off x="15020925" y="268700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F4D515E-295E-4614-BB47-B6946ED27BA4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348257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9622043-ECFB-4A03-B5B3-46E65BCC20D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55753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1CCF9A-64EF-45BC-90AD-EBC9745C3A3F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980528-B706-4D73-8A3C-2935865C7EF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BFC46D-E391-4357-9E41-DD777777E38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41BE8D-3A60-4A36-9049-A41351D5B99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8F735FF-0649-45CD-ADC8-6129B048FDBF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37DA8A-E8F0-4B00-A63C-0C176349FB4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B1E13EA-3D67-43BE-BA85-8D42C237F35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836581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EEB742-1700-4D2A-8231-4F7DEAE18BB4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97610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F2109D-1DF2-4D11-9E64-8BADCA3F533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97610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307A3E-B587-44D6-ABD4-FA69A9B6E26C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22CC49-D869-444E-AA2C-ED1D0933C7A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6EB6E4-7B79-4F2A-AE72-D0B5EB54766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E555DB-2E92-4283-9446-C30356D40FFA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3248D9-FA30-4831-94D4-9A6E9F128CCF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CE32C4-5B3E-4AF3-A865-5179EBB41B0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DE56EB-5774-4A0A-BDDB-13FE4D5EBBCC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627299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692ED2-6364-42D1-946B-06EB242EEC9C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766820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E337D76-50C1-493C-8DFF-9A963CE2B76C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766820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2031726-29C4-45BB-9D1E-02A1918A97BD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37E78D-355F-4E3B-8756-743C19EE3358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0FF11E-6F8F-4500-B126-E5126388744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DA4977-5649-4DB5-978B-ECF426FBF62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C6205DB-DAC9-43D4-8569-1A9AB9D7705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DB6AE7-7BD9-46DF-BD9A-89C65C2F18B5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183109-2679-459A-9927-79C8F60B931A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255144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0EE4DE-5F64-4D10-89F8-1DC4EEABA0B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9466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4A0B49-5DAF-439A-80BE-E5FE170AC7AA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9466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1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5DEFD1-8296-4CFF-99D2-ADC15A90FE8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87066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1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116FA2-FF5C-454C-B490-7F3A9893AF53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079947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1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715C79-3511-4399-B764-01046691ADC8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28922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1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275FC8-920F-490B-BD23-63784C58F20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498510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1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D86672-C66F-470F-A440-7F1EEAF02105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191707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1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1D4B20C-F4F0-43D7-AFA9-B1ED340B8F9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70517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1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8426F9-FB10-4866-BF07-032F96B3A81F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70517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1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6985C3-6AFE-4F44-B165-443B2FBE83CA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70517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11150"/>
    <xdr:sp macro="" textlink="">
      <xdr:nvSpPr>
        <xdr:cNvPr id="1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6861E5-9C7A-4ECA-B73F-08389398E43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2370517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ABA7C60-E303-4F29-84BD-F90DD07911A8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AC36DE-689F-4AF0-A26B-DEA31D0EC494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F7F563-A2B6-4A92-BB63-4B61E78CB48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B7B3F47-B0B8-44F6-BF62-2AD787B0EF85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9A4E93-6887-4A83-A7B2-C52FA5085257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26F4AC-2877-4E5F-A790-07040F319FB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1CA3415-2879-408E-82F2-B5D16701DD54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172764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480760-20F6-475B-9F82-0DB746DA4952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312285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6BF934-3B4F-4AED-B053-9E9E9B77EDD6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312285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4631EC0-E6B9-4D0E-BD57-E60353774CC7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4567975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76B581-B27C-4CA5-9621-AF66FFB65FB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4567975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E3C1EB-020C-4F0F-9ADD-B2E7C4860FD5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4567975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831438-CEFA-4F30-BEB3-4E8F1FF48932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EF0A78-9B72-4F9B-ADBB-D6E64DAA704E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D12839-D995-4DF3-BDBF-CF60D632A6C3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E9378C-0B28-489E-94A6-90951740E38B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8719BB-6E7C-4A0D-838B-6FA724D20A6D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2ABB86-BF2B-4CED-B57D-C7D75468B71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40CFB4-0C07-4A0A-9413-0F2CC2E67E18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203</xdr:row>
      <xdr:rowOff>0</xdr:rowOff>
    </xdr:from>
    <xdr:ext cx="304800" cy="311150"/>
    <xdr:sp macro="" textlink="">
      <xdr:nvSpPr>
        <xdr:cNvPr id="1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13BD23-DB49-49AB-A2E5-D7129A60C603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337774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203</xdr:row>
      <xdr:rowOff>0</xdr:rowOff>
    </xdr:from>
    <xdr:ext cx="304800" cy="311150"/>
    <xdr:sp macro="" textlink="">
      <xdr:nvSpPr>
        <xdr:cNvPr id="1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8BA7AE-EAD3-4D23-97C1-62ECA2E8208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337774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CB16942-E9B1-412B-8B12-F9FD489D52F8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5D47F8-2631-468A-98A7-4334B07C0A21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CCB012-6C84-4220-A234-AA1E3B89C7E0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A4EF82-924A-42B2-9699-53E078F46C87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A750B6-DA73-4753-B86F-83835F7D453C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13CDF29-3F7F-4FCF-A00F-FF7DEA14E36E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266DC71-F8B9-4154-94FB-32E593367DD5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E287C9-6AE6-4933-A3ED-82CA51B5C5B9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1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A3B911D-92FE-4EBD-B32C-A2689D97D796}"/>
            </a:ext>
          </a:extLst>
        </xdr:cNvPr>
        <xdr:cNvSpPr>
          <a:spLocks noChangeAspect="1" noChangeArrowheads="1"/>
        </xdr:cNvSpPr>
      </xdr:nvSpPr>
      <xdr:spPr bwMode="auto">
        <a:xfrm>
          <a:off x="15025352" y="3214352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F6EB84-2398-4FCE-893E-BDC1D8B5435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487554-F017-4788-8449-EDD5E0DFAF4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76A9AF7-4625-4E02-B839-ACDB22638B7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3DE9DE-2477-4B70-A379-6F02CDD82B5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59B895-FE54-42C0-96DE-FC8EA8AF645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4C294E-7794-471B-A236-504F3F845F2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01C2A2-7EBA-4943-BB27-81F76214B7C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209</xdr:row>
      <xdr:rowOff>0</xdr:rowOff>
    </xdr:from>
    <xdr:ext cx="304800" cy="311150"/>
    <xdr:sp macro="" textlink="">
      <xdr:nvSpPr>
        <xdr:cNvPr id="1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21EEF9-7AB9-493D-8F29-EA1A189064F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33711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209</xdr:row>
      <xdr:rowOff>0</xdr:rowOff>
    </xdr:from>
    <xdr:ext cx="304800" cy="311150"/>
    <xdr:sp macro="" textlink="">
      <xdr:nvSpPr>
        <xdr:cNvPr id="1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D8D863-DB63-410A-AF03-B6EEC53CDB8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33711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EFD6963-4AE9-4824-8B48-AB5B1A15113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12F96C-E24E-4A8E-B896-500CABD65E7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AFD530-0F24-4103-920C-29BA4507C32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40D89C-5F53-4416-86F7-5DE8E5BF442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71501EA-2480-41A7-A100-D2A96C5540D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637497-6F69-4E75-A7E0-60505F00337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0EE563-9A5D-43A4-8C19-B327216213A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3C273CB-A6DF-4E0A-B996-F278F8E1B1C4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205</xdr:row>
      <xdr:rowOff>0</xdr:rowOff>
    </xdr:from>
    <xdr:ext cx="304800" cy="311150"/>
    <xdr:sp macro="" textlink="">
      <xdr:nvSpPr>
        <xdr:cNvPr id="1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952340-FCD8-44F2-B199-63BFC9A14FC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5102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1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6E611C-645B-4A11-8EE1-9138AD684C0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1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A1BB4F8-DDAC-4A81-BE6A-A068CCE897C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1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C31B19-BCCD-4D0D-83C4-2DD766E88D3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1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CAA2E7-7A0F-4DDF-A331-C34796E9A67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37417C-9B30-49BF-B4B2-7856A3DFF3F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AB2DA1-8ED7-4EF3-9EDF-CC3B6385F6F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403042-D0AE-407F-AE32-71E8BCEF1A9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0D5770-9977-41DC-8347-98905F4B4D1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18845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F750DF-0FF4-4D08-B281-33CE91BC90CE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18845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2E4B28-A4FD-4487-9EF3-07E754CEB58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C1952D-3F05-4FDB-84BB-D3C014B99D9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A4638A-C90C-4CA9-8D97-392175009FD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168CC0-16B3-4182-A1C4-8C41396B8C8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932B2B-6E04-4F10-B25E-65690D06F44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1DB5FC-B026-4933-A3CB-FEF6C65F03F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192FAD-7806-4FDB-B6AD-01DD8883CF9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EA585C-6105-4722-AC82-8B5D2470F36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06DC9B-1A9A-4B8B-8B15-C3C538796F8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695422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F8126E-8422-4FD8-9034-9BDE4473BDA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95D2D0-2573-45E8-BD66-43446EFD37B4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ABA885-F34F-43C5-A28C-C7EAEF36B61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E695E98-1BA1-4E13-95F0-41B393D62D8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C823C5E-8B5A-4CDD-B031-F090C2A04D9E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A6E6020-20AC-43B6-8CCB-C29D73E976E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182D9A-E4A6-40F2-A1B9-538057B6E4FE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98D5B6-EDCD-44B8-96C0-DE3DB613A2C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039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6BE5FFD-C1C5-4C86-AF02-8A71FC2000B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039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ACD46F-A836-4A82-A109-70DFFBE27D5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935FFB2-5861-4C3E-A7AE-56DF53CF9CA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A2AE5C-8C54-431B-BC7E-7C1A81D77E47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B25EC1-10FB-4CB5-A2CF-8620E78C7E9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7F543B-D480-4402-8F70-1AC5455FF1C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E0861DA-E21E-48F8-80AC-171DC27DE7A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D0DC17-CDCF-40EC-BCDA-D18D6A80C0E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43C55B-5E4F-4571-9994-4833B8FAD21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5392DF-8BB7-400C-9424-5385880E6B6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4880556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E20406-F8D2-4D5E-9ADA-4A46AD9F23C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5B4289-2906-4FA8-87F3-FDC599BFE74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60A26F-A386-4C27-8AA5-C6F18EE4C22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992340E-6BEB-4A5B-951A-826E9E966F3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EEB41D-3172-47FB-BC03-3FD3823957B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64C8E6-CB3A-4380-81D5-3D3C6A3C814E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8FF9FF5-6329-4791-A812-C6AC3FA3FFF7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68DE97-A120-4B78-8262-A53CD66A096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18911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B0204C-4C34-4DF5-9A5E-671010FFCCE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18911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CF13BC-96A6-4200-9D4C-5791D9C42D1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D5188CC-AA52-4D3B-AB03-D35E53EB9CB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B92570-D16F-4423-9925-751BFF4F3F1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05F578-3129-46E8-98FA-1EDEEC1A69C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2FF12E-8F60-4757-860C-7DEAE3A3867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7DB61B-A4A4-4578-B518-F428AD20B4E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D17969-E040-4312-8D1A-7AB54027944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AD912B1-4CDB-4000-BF5B-705B174126D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7DD49A1-DA8F-4FC0-8A25-981CB9834B0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0656901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3F072B-B43D-47C7-9C81-30376DF15EC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9603A3-CDD4-4AC7-9912-D3677FA188C4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A6384B-34C4-407C-96D6-E8CC7BFB105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CEA8904-7969-4CB4-AD8F-0ED3AA4FDDD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A227AE-DF10-4D7A-B997-1B082961C3F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1AAF89-4CA9-4D3C-A754-E1EDE0B8250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EB8C00-D95D-4316-83CC-B83B315ECC7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6B2B749-FDF4-451C-83BE-CA73CAB208AE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374246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8E2BC8-1868-45E6-B81B-513C348F4A6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374246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E54EA8-E05D-44AD-9869-EEA7052294D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B9944F-8244-4378-BCD9-B6D7F4885A4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D22DC7-BE53-41E7-9238-A7BFF2C3269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66DE5A6-CBDA-484D-8875-8592777D247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21EE79-1BEB-447F-84F6-ACEA26D1055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7318C1-6599-4C2E-9CED-66F3D75980F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9B490D-D0C5-402D-BDEF-E52159A3AE8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70C89E-6153-4AFA-B53C-7CFD29DA149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774901-7BE5-4366-BB11-8E168689FFF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250823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CE3875-0CCA-49FF-8CEF-FF14141433D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D64549-0D2C-4C73-9CEE-3CB210470D9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02E2F1-DA12-4AB0-96A9-EF6613024AF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330879-3D5C-4B1A-9A5A-1823E01B249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687461-9687-469F-A16F-EAE889D61A3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3CFFD2F-1973-427F-A5A4-7EE8245F616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33AA88-90AB-4C76-9261-2E7EED58ED2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1E29251-5773-4475-9CC7-B021A59B297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559380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42225E-C59E-425D-A9E6-75B05B25913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559380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9F094F-D492-4B37-A62B-4C520F1ADCC7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FC3841-8805-40DB-B1C7-98377C4AB76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926BD8-7BF8-49FD-BCF7-C6F3760872F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44A4C0-AC51-4F16-991E-8E064439D41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2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A00C081-54D2-47E8-A708-8AE2771F19C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3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01B3E2-F107-45DC-8CAF-C83AB9BC7C2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3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0DEC7A-9F4A-4C9F-A6B4-D751AAFCF96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3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85EC4F-F10F-4A8B-AE59-0BB04023D30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3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3FED08-4442-49EB-A54C-27831CD825F2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435957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FF09C4-2A7B-487E-AE5D-2B5E6E28A2E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5B6EC8-D127-43E3-A85D-11FC0F4720F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9766E2-EF90-410C-83FB-C482A583D237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F8CCDC7-4825-4625-880D-4C099855E71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9EB9182-7BEF-488A-90FA-5D8510C1377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0E3C2E-B8B9-40F4-9B11-8AE9EC6D0BBC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798375-6A70-4D97-9B94-43E0C50DCD3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D93534-366D-4A16-ADF9-C85FF1237D09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967211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319</xdr:row>
      <xdr:rowOff>0</xdr:rowOff>
    </xdr:from>
    <xdr:ext cx="304800" cy="311150"/>
    <xdr:sp macro="" textlink="">
      <xdr:nvSpPr>
        <xdr:cNvPr id="3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B8DDB1-54C1-4822-8D58-A4128EA61D6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5843788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3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4BFBEB-D407-4999-BE02-AD0B4DBE055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3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A71FCE-3210-4209-A1B0-43BF6DF1064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3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57B5FDC-C89E-463B-BBF6-DCA0C1C0868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3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1A11FF-9439-4A1C-AD90-C5DF467B166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3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3ECB94-32A5-49B4-B207-96656A8106DA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3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6C3604-204B-48AE-8D8E-1B61D4EB155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3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6D7744-A8A1-4429-ADAB-D05ED354E403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3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751D77-FC48-4A7A-BDD2-8925BAA74407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3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4DAB47-09E9-40F1-B7D5-CAA2A46236F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367</xdr:row>
      <xdr:rowOff>0</xdr:rowOff>
    </xdr:from>
    <xdr:ext cx="304800" cy="311150"/>
    <xdr:sp macro="" textlink="">
      <xdr:nvSpPr>
        <xdr:cNvPr id="3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652265-3C35-4764-8125-7D69CF519E3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3374789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353FF05-CF42-4AA5-8E59-B17BAF07EC35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E96EAB-149B-4705-BF3A-8133A3B8C0CD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79F2E7-4DE4-49AE-B372-103C467ABE9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E4ECA1-DAD4-4493-A378-F736609D5F41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881893-EE12-4CB6-9D6D-320D032DBE80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1F69C8-5E3D-455D-80E8-6F904A5E8106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026A62-5F7D-4A5E-81CB-2BFC9589B41B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292C83-46F8-44D1-A829-66A7913B6FFF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42E72B-B59B-4ADB-89AA-1FA2F414AC38}"/>
            </a:ext>
          </a:extLst>
        </xdr:cNvPr>
        <xdr:cNvSpPr>
          <a:spLocks noChangeAspect="1" noChangeArrowheads="1"/>
        </xdr:cNvSpPr>
      </xdr:nvSpPr>
      <xdr:spPr bwMode="auto">
        <a:xfrm>
          <a:off x="15213169" y="6460901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C0F8DFB-B31C-4927-B94C-D7E86CF56AA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2C2FF3-196A-4EE2-87BB-70643432022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EF76A3-6C92-484A-8392-6831F9A140E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D9A4B2-977B-4B76-BE31-D74FEE5FAF1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AD92F49-932F-45A0-AEF4-20D27684FD0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D2B27F-6143-4FCC-AA5D-0400F9BFA48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4392ED-C6FA-4348-B2D0-49AC69F1133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B77E916-22ED-47DA-A6B3-CCC50772674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196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9A352D4-5FA5-4350-8DA5-9138C87FF69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425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F6C245-D625-4CE1-A5BE-749989EC721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196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B05094D-FAD5-4643-B5DE-D4D1FC54B1B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D29323-7410-4592-A6BF-79FEBAF4845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E13E6A-5BD8-4D2E-B20C-AC52FECEFC8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9D4905-A9C3-4514-B148-C7EC19C4C58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00DCCC-C45C-4566-AECD-ED3C4F30D2A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EAAD79-5E6C-4A4C-A488-6A86566EEE9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2020F3-6BD7-4126-AF3F-2AC21116F0F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FE9517-848B-48DE-A9DB-BBD771752EC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DDC7F3-3BF5-45A9-8AEE-1E122621A95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6BE809-37A1-4640-B733-5FF4D0C5144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2F2085-B907-434B-B6B5-B82BF19236C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BCEF14-D4AA-4BD1-89C5-D096A975EBC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8B485F-A562-4056-901A-8799A2AADE1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D8D49C-501A-4B58-8158-5A3F945A941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DBBFB4-5085-4D5C-8E9E-D50F22B30EC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AC23E9-B0B1-4968-BCE8-18C36B4CF17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0D1053-EA76-4752-B59A-1A6560A04C4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3F3DC6-8C54-4BC2-84BA-2507F76C6D5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2441310-9A3E-4027-AF43-E5C594AEB66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C9B1C7-6481-4EDF-B5FD-99990A41DD4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761665-EFF1-40B4-BF0A-6E2C577EC77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4B1127-2F5D-4B14-9EB5-D10D9D3BD6B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FDDF62B-68E9-4E0E-A8CF-3D760C284FF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0C4201-DFD0-4D86-80CB-58F5D7D7EA5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31EB985-E5EE-4BCB-BC43-45E4B188CF1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DFEEBA-E46A-4DC1-A8E7-36EE8841AB4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199</xdr:row>
      <xdr:rowOff>0</xdr:rowOff>
    </xdr:from>
    <xdr:ext cx="304800" cy="311150"/>
    <xdr:sp macro="" textlink="">
      <xdr:nvSpPr>
        <xdr:cNvPr id="3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192950-909E-4A6B-9AFF-0BE33B85319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30445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9D511E-7E1A-403B-A180-DF25708BC5D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47D5DD-F873-4024-8A87-698767E2D2F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556070-021E-4483-BD55-BFC7F83F147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362B1F-C80B-422F-84E3-3F462068C52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83C218-B0F8-4DAE-AF0D-3AA589DB2B9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A84023-DC39-4C3D-8008-CF0858A50B2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8CDE37-26B8-4856-8AA5-5F1657AD98F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6BA9AC2-6BFF-4451-80B5-2073C3CBE4F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E831FF-7547-4478-9E46-B8D93EAC6FB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56353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435147-C7AA-4936-9CBF-6AD9A2724D2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6A7FF98-48C4-4F21-8F9C-43CA7C7B146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79813B-D322-4B29-9135-706E53B26AF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5B694A-4B45-42AE-9E2E-D9C07F90926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D16778-8712-46C8-93F5-9B313181C19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B75F0A-E093-4F54-B625-046B5A7CEB3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DEB27A-6B62-4F64-B7DE-0E5A598701B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87726D-CDC9-4E82-A5B5-06CFE691187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512</xdr:row>
      <xdr:rowOff>0</xdr:rowOff>
    </xdr:from>
    <xdr:ext cx="304800" cy="311150"/>
    <xdr:sp macro="" textlink="">
      <xdr:nvSpPr>
        <xdr:cNvPr id="3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2183FB3-1F66-493F-86F7-3500D1584B4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8888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3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92A6945-008E-48D3-81DC-E4F1BA7573D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3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62663E5-0BF6-4D70-A23F-AF27749DE9F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3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2F5C10-CDA5-4F92-BD14-0E98C25A1EF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3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772926B-2536-4775-B158-75D75D22B2C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3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171201-8C22-42BB-AF1F-3A1FCE327F7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3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D26C14E-1373-4E19-AD77-71A1D70BD21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3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D6327A5-7F2A-45DB-9520-D4EF02658C0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3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65A0D3-E6C6-41D2-B6B3-A996D0C2D90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3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3B752D-B34F-443C-BC63-E018CC0F1DD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3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31E7916-6BFF-43D1-81F9-62E5A0FF135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3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FB3BD1-5255-4FF7-B139-6E7640941EC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94D57DE-C55F-4DF7-ABFA-BE5EB5A6AB7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76A46F-D1AC-4582-9E25-DA4DBC5D992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31E6A9-0C77-4F39-8B31-23663A8D6DC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DB4892-082C-4F98-B843-FF82634BFD8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BFF6DD-EA9C-4594-A7E0-E89E0A8BE75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BD6E2A-BF78-4CDB-ADB7-B0DE644DB6B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A9AE65-1AC8-49B1-B9E0-E6CA61F93D9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E71E5A-A895-4F35-99E8-61AD77216FA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289D06-3C7D-4551-A175-771FA61EB79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4EACCA-5FE1-422F-827C-EB3A9031504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AFF995-BDBD-4FF4-9BA3-00FE0FF0640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0E1865F-733E-4ADA-8D00-57CDC108C78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AEA0B50-EB0B-4C6B-A9DA-635E49E4EAE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75A907-F296-4DB2-B2C4-A64ED0D6884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17FE85-6E55-4B22-83C2-F27799748CE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3166DC-34DE-4726-A4F8-0FB877AC3C7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9BB2D8-44BD-4D98-80F9-D3759AE7CE2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8E5209-026E-4BA5-951D-63D15F91382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0EE9B8-2ED2-495E-A8FD-2FC7FD507CE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4E24A1-6CA1-4DBD-A9E0-A0A6B08C038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3AB2EC-385D-47BE-B10B-CDE70DBBC1C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E82B1D-E455-4DDD-B898-5B82F6CBAC7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0ECB0F-33BA-44A5-A078-FDD1B2FB9B7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E72034-E8C6-41C7-8201-4FEAAF9ED81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BC0913C-E530-47B6-AB77-8A07E647FB5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599FB3-AD93-4D57-821B-187F3F7FEB7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D0F69C8-3D24-4903-9F36-6818CF3834A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B35EA36-3CCA-430A-8F56-08872BF1FC4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DC2054-3465-4FD4-8645-F40112B29D9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C98A34-1C1A-40FA-851D-D5C6B317B74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E415F7C-9AA0-41D9-B23E-B39D6919EC3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091B09-A52F-4E73-9209-8E1BD0F14BA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0372179-38D7-45AC-86F3-6AB526444DF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1F04E8-80BA-4204-9A3A-D9981B085EA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47C7B0-B2B4-44D4-92B7-B02314CBEB7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20748D-D971-4E7B-8652-DADDC3C0E96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26C5906-CE5E-4D72-B3D8-41A015521A0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98DA3D-532C-40DD-80F2-0B1DC7F125E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147883-9866-4A17-8E04-CF270DAD37A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7D8A9E4-8273-4DD5-BC9C-DCF9F749598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FA0D94-B88F-4E9B-A25C-504322A582F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D4F42B-9F4D-4B70-BAA8-32E36183881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8282E7-632C-4743-BE41-9387D2977A9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3382BB-9D54-4B8C-9AC3-20E77D1893F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AF448F-A147-4F2B-9250-605F949B5A7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195ADEE-75E9-425E-BAA8-129936862A8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DBEC21-A586-4664-8D7B-1BE797BEE9B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B5ABA6-D6E5-4091-B8DF-0B99218CAC7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6A2CAF1-DB9E-4630-B0E5-0F566B8D8AF3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197</xdr:row>
      <xdr:rowOff>0</xdr:rowOff>
    </xdr:from>
    <xdr:ext cx="304800" cy="311150"/>
    <xdr:sp macro="" textlink="">
      <xdr:nvSpPr>
        <xdr:cNvPr id="4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B4B0BE-491E-4625-B59F-71541491416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3716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197</xdr:row>
      <xdr:rowOff>0</xdr:rowOff>
    </xdr:from>
    <xdr:ext cx="304800" cy="311150"/>
    <xdr:sp macro="" textlink="">
      <xdr:nvSpPr>
        <xdr:cNvPr id="4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D86157B-217D-4AB9-ADF3-CBD6F770DAF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3716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59928A-77B3-4140-B2B1-13275E02072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CFAE32-C519-4F73-A705-93C3B8B7E69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423C70-F555-438D-86A0-97CCFC3C28CB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46C438-6A71-456A-9D46-350ACB773290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EBB91D-FDAA-46DC-87A2-73D398D4B02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4A749A9-26DA-4FC1-AE06-F0F7C09ECB6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FB65C59-FB7E-4CA3-9669-60BD581ED74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B354D0-8522-4E87-82F2-C5C218C59F8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D368ED4-8389-427B-AE43-FB3387175A0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472206-217D-44BF-9359-8B0DDE882F9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AEF7D93-3EB2-441B-847E-B65717592FE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6310E0-E7E2-49D7-BC5B-557C9AB869A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EBBAAB4-BD89-4755-8D68-4762270F2D2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95B56E-08B0-405C-A540-FAD00F05561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EA2AE9-DF25-4220-A932-D75F7F62055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750FE6-E9AA-4F39-9211-6235BF5AEF0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C6F328-3888-4AE0-8178-E37F071E5CD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5E451B-0F0B-468D-8A61-EADA2EBEA38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9B8206-5F71-4990-8205-141C8DA4B7B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EDD263E-5D25-4C28-BE6B-BA88CB16921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D7F246-0A06-4E16-88D8-A2A5D428A11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3EEEC3-C9C7-47B1-8F30-CC001D3120C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4F32AB-8360-4821-924A-78F230B2CCC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AFF3C6-9256-4764-8065-5B3BD22FE0F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8A5FB6-1155-4597-BE87-9155694C844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D66EE6-D251-4C8C-B527-7E897BD2EE0C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3AD1DB-576D-4DA4-ADDF-9D3340358F7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599ABB-7104-4B7C-B1E8-F063E1998E3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CB61045-2A4B-4F6D-AE19-97C9D62E9CFD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556D83-707B-492E-A00A-DE421711E90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742B6A-2B57-41B4-AD61-EE662DDD1964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E8E2F7-1F10-47D7-A5D6-078F3AD9E3E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74EB9F-8E49-46FF-9DDC-D1333C68789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E7CBDF-FD1B-4345-B171-2382C224CD7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2B9073-97F6-4D73-A835-33B4FF8D4069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520CCE-AEB9-4AF8-8CD8-431E64771C9E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EF000B-75C8-4D0D-BF86-AB1D702A414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6A47EA-9B16-4672-820E-2CB73565EA85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7BEE35-0AEC-4BEB-A5B0-87C841D7451F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19EBB7-8E1F-4E67-8C81-35452D5A4076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983B2C-6CF6-4224-911A-AFB405CC5CDA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F86AA4-CCFF-4F21-BA0C-68D958BBF158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FF74D3-C9BA-42E0-9EAE-DCDAC0B0181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99A723-8A88-4CD5-A697-D8EB99F19927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334915-9285-410B-9429-D7DD646E22B2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193</xdr:row>
      <xdr:rowOff>0</xdr:rowOff>
    </xdr:from>
    <xdr:ext cx="304800" cy="311150"/>
    <xdr:sp macro="" textlink="">
      <xdr:nvSpPr>
        <xdr:cNvPr id="4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7811A7-5A38-44D7-AB3A-950EB81C3901}"/>
            </a:ext>
          </a:extLst>
        </xdr:cNvPr>
        <xdr:cNvSpPr>
          <a:spLocks noChangeAspect="1" noChangeArrowheads="1"/>
        </xdr:cNvSpPr>
      </xdr:nvSpPr>
      <xdr:spPr bwMode="auto">
        <a:xfrm>
          <a:off x="17410545" y="12238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91</xdr:row>
      <xdr:rowOff>0</xdr:rowOff>
    </xdr:from>
    <xdr:ext cx="304800" cy="311150"/>
    <xdr:sp macro="" textlink="">
      <xdr:nvSpPr>
        <xdr:cNvPr id="4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39A4CD4-DEAC-4063-A5DE-440B17C4B11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093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105</xdr:row>
      <xdr:rowOff>0</xdr:rowOff>
    </xdr:from>
    <xdr:ext cx="304800" cy="311150"/>
    <xdr:sp macro="" textlink="">
      <xdr:nvSpPr>
        <xdr:cNvPr id="5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DA1BEE-5A6B-4E3D-95D7-774077E1817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3011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</xdr:row>
      <xdr:rowOff>0</xdr:rowOff>
    </xdr:from>
    <xdr:ext cx="304800" cy="320094"/>
    <xdr:sp macro="" textlink="">
      <xdr:nvSpPr>
        <xdr:cNvPr id="5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BB5A59-60F1-4868-B241-B10CE3F9FEC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1106727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20094"/>
    <xdr:sp macro="" textlink="">
      <xdr:nvSpPr>
        <xdr:cNvPr id="5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A2E285-5C09-4D3B-886E-CBF279669A8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924636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119</xdr:row>
      <xdr:rowOff>0</xdr:rowOff>
    </xdr:from>
    <xdr:ext cx="304800" cy="320094"/>
    <xdr:sp macro="" textlink="">
      <xdr:nvSpPr>
        <xdr:cNvPr id="5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C3AF49-870A-46CA-9D26-B5D98C96F81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1880273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135</xdr:row>
      <xdr:rowOff>0</xdr:rowOff>
    </xdr:from>
    <xdr:ext cx="304800" cy="320094"/>
    <xdr:sp macro="" textlink="">
      <xdr:nvSpPr>
        <xdr:cNvPr id="5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49E7E4E-D8BE-489D-920C-CB8F91C246A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4835909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151</xdr:row>
      <xdr:rowOff>0</xdr:rowOff>
    </xdr:from>
    <xdr:ext cx="304800" cy="320094"/>
    <xdr:sp macro="" textlink="">
      <xdr:nvSpPr>
        <xdr:cNvPr id="5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7CFEB6E-1CB1-452C-BB01-A44F3E61513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17791545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60</xdr:row>
      <xdr:rowOff>0</xdr:rowOff>
    </xdr:from>
    <xdr:ext cx="304800" cy="320094"/>
    <xdr:sp macro="" textlink="">
      <xdr:nvSpPr>
        <xdr:cNvPr id="5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34877A6-D035-4D61-9380-0E22F53C7B9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20747182"/>
          <a:ext cx="304800" cy="32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CCE463-FCFA-4602-B903-4B680728F4B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6FBCE5-5F19-426E-B37E-3EB99564076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38AB4E-F8BA-4828-B716-6091D10AC0D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1B561-D7F5-4CCB-83E8-588AC92778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942110-7A94-4E8B-8AA3-AD72CE0A721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A1D32BF-5B53-4917-B3AA-377E4191BA4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5AF97A-F1E6-4244-B066-8350FBE37C6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001496-9700-42E9-A9C6-BF09C13E97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7372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7F527A-C48F-45AC-A002-8C254FBA224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7372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FD511D-AC2E-4048-BE52-938265C071D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EEA05F-882E-4EEF-8FAD-613602C1655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E3DE35C-7754-452D-AED6-20AF60613C4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3D1541-5CD1-4060-A12D-66CD803E800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A178E65-5D63-42E6-A08B-E173FB99B61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DDA610-ECE9-4708-8AD5-CFF5728B1C8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A18C964-1109-4A84-8C43-0EE2FB20137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3B5CAF-349B-4BC2-BFA1-7C3261BD770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DAA6504-CBD9-474B-8B25-0BE555317C9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35987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A67CC7-77FA-4A92-9EEC-9AD78C776AE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E7C1044-8745-412A-8149-3209FAEB5A3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820DCC-50AD-4303-B427-7280C6C200B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22E309-88BB-44DD-96C1-EA348EA95C1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A5B7CB5-F31B-47C4-9BDB-363B06098E7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13FFF1F-B36B-46D1-951F-F01726025EC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87779B-7924-4B4F-ACC5-F5227E0EE88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59E4F5-0C07-49C4-A3AA-1936AE43ED6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37C089-5B70-4DAC-A4E5-7B646D67FCE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81F7AD-9C7C-49AD-914A-D38962EC511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BA9B0FC-37B1-42CC-BC8C-7CCABEC8947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BC3E3B5-ADA8-45C3-AA3E-98C9AD9180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247BCF7-8E6E-4C66-9E3F-E67C0D3FF65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6D00626-8137-4AAA-9529-D8D0FD5B12C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A8B499B-E2B9-4913-B0D9-E67FC772A4F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9264D9-8FAE-456D-9243-A51506CF33E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3EA2567-0BD6-4FD1-83C7-E1FD7AB62D0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D44306-9DCA-485A-BE0F-8AB5574712F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5DDA43-182F-4C8A-AD57-02C7CBE5667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6761C7-0369-41EA-A0A7-69755820523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77BCFC-4BE2-4FA8-BADB-ACFE2DCB794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4713A9-876D-4A78-A972-5A638984BD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1105C6-C0F1-4935-9014-D5D65F69CE3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A25C92F-6B39-4DDC-A702-DB03A99249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3008FD-A606-4C30-A65F-ED0190472F0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4ABB48-6478-45A5-AB51-F73059B4AD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6C2729-C2B7-4494-B7BE-10712169BCE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956AC1-3964-45CC-85BE-AAC620A4FEA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16D77D0-D8A6-4EEF-B0F4-A0C55A732DA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0F60A2-FA55-4FC3-9F2C-D4F5BB726C1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FAFCC1-6BCC-48EF-A1D1-CC0A0987C3D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D04BB1-DED3-40A7-830C-17FB676A815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C29D98-BDEE-4BDD-B745-28AABF170DC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4A7FAA-0B12-4391-8439-33F7F7AD1D8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840DF5B-D5BD-443D-B462-8594B8F9FFE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15963D-FD38-4963-AE68-DEC655FF57B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85A4F1-08CD-4035-9507-7D00BC388DE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1280BB-7284-4410-9D47-925BD2F275F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0009284-B371-4AA8-B9E9-F8A9FEBFA7D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055D3D-FBD6-4CCB-91D6-278C8AD9A3A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CD8B723-7826-4BD3-9D68-DBC4C958FDC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D3D051-C609-4555-85EE-D2CB7E1D0AB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3C579FB-7ACD-49A4-999E-58155ADE5C3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C46BCE-325F-4E39-99E4-FCB1676AC6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2ECF1C-15E9-4599-8BD5-CCC10AA5A75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BAA3AF1-C26A-4E42-8259-E6287BFA64D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A8710C-22B9-4917-B776-87C996AADB3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BBF3042-5C46-4CFE-9A50-7C08A9D59C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8D3CD7-DDB3-4C83-BF2F-21B0BDBEAEC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346D5B-42B1-4FAA-8436-40520C955F4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75E7F7-7E01-4758-B694-690EE15F3E9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928850-D0C8-4495-AB2C-A327CCBD347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9D249B-2B31-49FC-9852-FE651153B56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6B0A5C-B987-4A20-AD29-DBCFD4A77EE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54C87F-1981-4A05-8E83-3A245DBBFB0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57547D-0EE7-4C80-9680-7A37568FDC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F38D8F1-C194-4FA0-85F3-D3C46FA6AB1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227912-6678-4AE1-B31F-9C68358D1C2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28F501A-72DB-4B40-B059-19B2950173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BFA34D-8FA9-4CF2-8DAD-F070C5DBFDE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21D6D6-1E90-4B9A-B128-DA0334F71DD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8613DA-FEA1-41A1-A0E3-D756ED83E0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C8DACB-128C-4495-B607-DCB834E3DF0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4FDE50-6DC3-4661-8613-D50923FB31D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3D3F9B-0BB8-4375-9692-CC7322E5F10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35ECC4-899B-4DB8-9BA1-EA83F9E635B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092CA0-0010-4879-96D4-4638E45B237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3CE883D-46C6-4BC8-970E-9ED1854150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86206C-D5A2-4A97-A3B1-86A0568E15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7D7191-693A-422A-A39F-D467398246D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9BAFA73-E2BE-4116-9B3C-E0DA0DB6D13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E8F8CD-B297-461A-93DB-CF588480D9B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031655-8B50-4ECE-95F5-D7FCA9A9780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2EC006-7834-481B-8873-952A295822F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5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6FE5B9-9CF2-4A13-BF33-36EBCC182FC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9ED92B-EA6E-4DD8-998C-51EE2EB36C9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DE8E6E-5F45-4523-A91A-E5B4271FD07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3D3EFE-D13F-458E-9420-AD324D77A20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788374-41BB-4C12-9871-0F896591C7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748F6F-2E7A-47E9-BE5D-0BB612BD9C8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76EC2B-DE7D-4931-97B4-4CD31B9B6F1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6EEC51-2E2F-45D0-8468-DBC3D26E485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95D567-A05E-47D5-9144-9ED260491D0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AC685D-4DD4-4DA3-A9D4-F37805D0E0D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A9E34D-75F3-4CF7-9FCD-30E6A497823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56A6AA-1B55-49E7-AB0C-AB2CF366A9C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7158D3-A535-4700-BBC9-CBCF626C895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B7E00E-4867-48D1-8897-05976496D75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AD9AE0-4028-4038-A9C7-008D18503E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313</xdr:row>
      <xdr:rowOff>0</xdr:rowOff>
    </xdr:from>
    <xdr:ext cx="304800" cy="311150"/>
    <xdr:sp macro="" textlink="">
      <xdr:nvSpPr>
        <xdr:cNvPr id="6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170EAB-FD7F-44D1-BAD1-25997C5050D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E325E3-ED8D-424F-83E5-4F4B6A285FC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1D47B9-B3F8-4E52-AFA6-641666509DF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BC60D6-1DF5-48AA-B4BD-099D6358BD7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8EA811-4B57-47D0-A628-BC3228D9AD9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39176C-E2E7-4127-9050-1EC8B2870A9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33CFE7-8266-40C1-A14F-92C40BF4C00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C20C66-F75E-4DCB-82BA-4C980366E85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311</xdr:row>
      <xdr:rowOff>0</xdr:rowOff>
    </xdr:from>
    <xdr:ext cx="304800" cy="311150"/>
    <xdr:sp macro="" textlink="">
      <xdr:nvSpPr>
        <xdr:cNvPr id="6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96A9B1-0F79-4DD3-99FF-0A8DE8C0243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311</xdr:row>
      <xdr:rowOff>0</xdr:rowOff>
    </xdr:from>
    <xdr:ext cx="304800" cy="311150"/>
    <xdr:sp macro="" textlink="">
      <xdr:nvSpPr>
        <xdr:cNvPr id="6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C14C70-91DE-4D40-B32B-FDA784EB8A4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6F914D-EACA-4CDD-97B6-5522EA4B4DB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FA3D60-9DAC-4AC7-B656-EAE2152261D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D72285-6EA3-4166-8E39-90820224FD8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06C8E0C-B0AE-4FEA-9643-FC7AC581921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F69E4C4-7835-4257-8DA0-B7A2683D9A2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11548F-C572-4681-B86B-8F6D45B2B32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0DB2F0C-46B8-4D6B-A97A-C1CA0CDC1BA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3FD1D6-9D2A-4C8D-84F4-3CC0222E334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307</xdr:row>
      <xdr:rowOff>0</xdr:rowOff>
    </xdr:from>
    <xdr:ext cx="304800" cy="311150"/>
    <xdr:sp macro="" textlink="">
      <xdr:nvSpPr>
        <xdr:cNvPr id="6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07315F-0F8A-463E-BC71-4B0812977A7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611995-C5DE-43AA-B74B-D507FA366AB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D27E05-00C7-47C9-BF58-98E37A8A39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4F6F18-FB25-4740-BAA1-441C4DB1805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9F391AF-E4E6-4586-A20F-24DF211D88B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B81EAD-49FD-4AAC-B3F9-9A9E8A1A9DC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DAF3E09-1CA8-42D7-8371-242B82A79D1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A1D5197-E111-4F16-81CD-440188914D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305</xdr:row>
      <xdr:rowOff>0</xdr:rowOff>
    </xdr:from>
    <xdr:ext cx="304800" cy="311150"/>
    <xdr:sp macro="" textlink="">
      <xdr:nvSpPr>
        <xdr:cNvPr id="6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D91CCA-4242-4777-9E4A-1D1C2AE290C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305</xdr:row>
      <xdr:rowOff>0</xdr:rowOff>
    </xdr:from>
    <xdr:ext cx="304800" cy="311150"/>
    <xdr:sp macro="" textlink="">
      <xdr:nvSpPr>
        <xdr:cNvPr id="6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F00526-346D-4023-B75F-1CD735B1806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7C9DFD2-4159-4281-A9B1-91A6E14F956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4E7625-269D-4284-8247-9412E603A68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8A966D-5F3E-436D-B6E0-1F3F4675796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3BFF4C-7D01-486B-BDB5-8187DA9BB27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0817636-1636-49B5-86C9-99AB9F47C2A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73467A-A5B3-47A1-9F5A-8010D484638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347DF1-413F-4E7D-B7E2-3CF9B57CEFC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D88C7D1-57CC-444D-80C1-649F7D3E066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301</xdr:row>
      <xdr:rowOff>0</xdr:rowOff>
    </xdr:from>
    <xdr:ext cx="304800" cy="311150"/>
    <xdr:sp macro="" textlink="">
      <xdr:nvSpPr>
        <xdr:cNvPr id="6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80FFEF4-2ACD-4CF9-B150-056BBCCDBA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7B7555-D316-4E46-900E-93F333A90CA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61B0C9-402B-486C-A035-2D87788BC3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99042F-9C11-4678-BDD8-4D2A575CC60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33C2A7-DD1A-4E9C-B7E9-007423D30F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2C52285-3F4D-42EF-B021-2A6CD982E30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47D6AF-7BAE-4F80-A5C0-30626C40CA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B1A2B25-E68E-4B9B-B412-2B54248BCD1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299</xdr:row>
      <xdr:rowOff>0</xdr:rowOff>
    </xdr:from>
    <xdr:ext cx="304800" cy="311150"/>
    <xdr:sp macro="" textlink="">
      <xdr:nvSpPr>
        <xdr:cNvPr id="6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498929-AC8F-4E66-853F-CCFB9D1D0C8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299</xdr:row>
      <xdr:rowOff>0</xdr:rowOff>
    </xdr:from>
    <xdr:ext cx="304800" cy="311150"/>
    <xdr:sp macro="" textlink="">
      <xdr:nvSpPr>
        <xdr:cNvPr id="6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F44E6E-7EA9-4C54-B210-5C70DA98DBD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C34E10-46D9-4D0A-80AD-90070C38E38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99F876-C01B-46E4-A871-604AC46706F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59A488-7DB5-4C26-82F2-2AF854B7828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B9F874-205C-428A-9C3D-F16B498B4B0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C95EF1-1362-45E0-A83B-73D1605D468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1B9374-ED17-4026-9108-0A9B64C9667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7255D9-0218-4BD3-B19E-3B406E8CE83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44B26A-F07A-4907-A811-3BE880F4B36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295</xdr:row>
      <xdr:rowOff>0</xdr:rowOff>
    </xdr:from>
    <xdr:ext cx="304800" cy="311150"/>
    <xdr:sp macro="" textlink="">
      <xdr:nvSpPr>
        <xdr:cNvPr id="6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68AA43-28A2-4635-916B-19F4A035B5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8F7B11-3CE2-42F5-A7FF-1B7B9981C72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F1DE78E-72D0-4F55-A8F4-D174041017D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37EBBE-8262-41D7-8599-51DEE517EE6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7191895-9908-41C1-A0BA-0A41B600B4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4AF0D2-FCEF-46E4-8E93-222AF55FC3C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474996-A0E4-4BFE-87FF-024AB6D965C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8817F5-51C4-47AA-B63D-A1FF9C314A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293</xdr:row>
      <xdr:rowOff>0</xdr:rowOff>
    </xdr:from>
    <xdr:ext cx="304800" cy="311150"/>
    <xdr:sp macro="" textlink="">
      <xdr:nvSpPr>
        <xdr:cNvPr id="6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B6AC5E-6F5B-4B6D-9568-DB0D989B1AE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293</xdr:row>
      <xdr:rowOff>0</xdr:rowOff>
    </xdr:from>
    <xdr:ext cx="304800" cy="311150"/>
    <xdr:sp macro="" textlink="">
      <xdr:nvSpPr>
        <xdr:cNvPr id="6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B42013-8451-4FED-A822-9300938994C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01726E-38B9-4E9C-9D9D-541FF63A363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9132126-23E4-4372-9129-494820AEC4F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C2AA8E-882E-47C5-B9C6-52EB04D67B9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C6614A-4C24-4988-B026-616AB8D439D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47F218-9CFC-4D7C-8A1D-94F02BE733D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08C771-1BE3-44B2-8B2A-170B7263E64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2F947E-7AA3-43FF-82D8-AE582484832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B3EAAC-789A-422C-B032-8D1F6FC9A64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289</xdr:row>
      <xdr:rowOff>0</xdr:rowOff>
    </xdr:from>
    <xdr:ext cx="304800" cy="311150"/>
    <xdr:sp macro="" textlink="">
      <xdr:nvSpPr>
        <xdr:cNvPr id="6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EC6999-2D79-4F78-9AAF-D2618ED16B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6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16B462-D496-49C7-847F-A684AC654EC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6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B97DABB-09B2-453D-BC45-617DEEE9B12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6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481876-1AF3-4D92-95FF-EE9A0ED6CC9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6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C2DEEA-2C12-4237-94A2-0486862FF9E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6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A5D256-CEB8-438A-85A2-EFA9B658FB9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6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EBA9086-1862-442F-B5FF-4D093DE8F53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6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FC52199-03B3-46C7-B3A3-DD2B4D4F4BB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287</xdr:row>
      <xdr:rowOff>0</xdr:rowOff>
    </xdr:from>
    <xdr:ext cx="304800" cy="311150"/>
    <xdr:sp macro="" textlink="">
      <xdr:nvSpPr>
        <xdr:cNvPr id="6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F66E33-C14C-448A-856B-FB1911B2C4E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287</xdr:row>
      <xdr:rowOff>0</xdr:rowOff>
    </xdr:from>
    <xdr:ext cx="304800" cy="311150"/>
    <xdr:sp macro="" textlink="">
      <xdr:nvSpPr>
        <xdr:cNvPr id="6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EAA677F-456A-4376-8D1F-F304E0413B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6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A057A0-63C4-4528-B0F3-6030E462CFA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6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97B5EBF-5BCA-4067-8647-CF0EBBAB53D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6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4B0090-E9B3-4245-8DA4-6551B5F669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6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0B132C-C1ED-4DFE-BAF1-96D741691FB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7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2DBCB1-5C76-460A-B381-90CC169C5F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7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2E8979F-02F6-4C07-BC00-1E50817E30E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7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7B86CBD-8146-4B4C-8D27-C4EE7F154B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7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55C9D6-5F99-43DE-B87D-CE3877CBEED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283</xdr:row>
      <xdr:rowOff>0</xdr:rowOff>
    </xdr:from>
    <xdr:ext cx="304800" cy="311150"/>
    <xdr:sp macro="" textlink="">
      <xdr:nvSpPr>
        <xdr:cNvPr id="7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A76B2D-B89C-4459-8DBC-E3CC8F03044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BE183E7-9D35-42E6-AC2B-0276E3CA5A0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90847E-6EF8-48E2-90B6-1983EE60D37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4249D9-A6BC-4A84-92E7-58013AA913D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0D90F2-4145-4BEF-8344-BE9CDCE3F78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B8AEEC-D96A-41AB-9F79-BAC7D0819BB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D43158-E032-4960-AD01-0A33048206C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CC9C485-AC47-4388-87D9-387F41B0316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281</xdr:row>
      <xdr:rowOff>0</xdr:rowOff>
    </xdr:from>
    <xdr:ext cx="304800" cy="311150"/>
    <xdr:sp macro="" textlink="">
      <xdr:nvSpPr>
        <xdr:cNvPr id="7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D09C25-839C-4D1C-A360-74D15DDEA51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281</xdr:row>
      <xdr:rowOff>0</xdr:rowOff>
    </xdr:from>
    <xdr:ext cx="304800" cy="311150"/>
    <xdr:sp macro="" textlink="">
      <xdr:nvSpPr>
        <xdr:cNvPr id="7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0B21F2-403E-4FD8-AB89-5D1B856F63A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1E9C4B-5153-49B0-8BBB-8FA17997AB1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0245BD-28D4-4303-9CBD-0C346F70B40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78F88E7-3E3A-4170-B67E-833BCC6336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687A621-EC09-4D28-BB71-BE5A6A39D01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9F9BA1-5F56-41A7-A7AA-FBD0D9B3753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EB5CDE-84AD-411D-B9CC-AAB579E8EDF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BB82A55-A65F-477C-A40C-A75EB61C363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ED110C-02F5-4A79-8F0A-4FD28A875EB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277</xdr:row>
      <xdr:rowOff>0</xdr:rowOff>
    </xdr:from>
    <xdr:ext cx="304800" cy="311150"/>
    <xdr:sp macro="" textlink="">
      <xdr:nvSpPr>
        <xdr:cNvPr id="7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F24F9EB-B2A0-4B4B-8EFC-98775352355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9818395-A4A7-41B4-9CDB-73BB9BACB80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E0AD6F-C3F0-46E2-8EF0-F2786CBC98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37F7260-30E9-4A42-8C63-993FB1A44E6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F05C0A-153F-4033-8D1C-981763AB4AF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44D792-B37E-4C91-AD2F-B3CC3BCBA27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268F3F-BD5B-40FB-BE52-1839545E8B2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2D5D8B-0731-483D-8F5D-E5105D710B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275</xdr:row>
      <xdr:rowOff>0</xdr:rowOff>
    </xdr:from>
    <xdr:ext cx="304800" cy="311150"/>
    <xdr:sp macro="" textlink="">
      <xdr:nvSpPr>
        <xdr:cNvPr id="7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A36DEA-29A6-4FC9-883A-431B38230A0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275</xdr:row>
      <xdr:rowOff>0</xdr:rowOff>
    </xdr:from>
    <xdr:ext cx="304800" cy="311150"/>
    <xdr:sp macro="" textlink="">
      <xdr:nvSpPr>
        <xdr:cNvPr id="7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0603B3E-E8C3-47AB-BFE2-B496EBBD57A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9858973-153D-4CD1-92E9-A3EEED4D359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18B990-DBC3-4312-8ED1-51B201C1E9A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DC78F8-2FA9-4FDC-80F0-C394C4C7C2C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20B928-43AB-4397-A84B-DC2AD8FBD10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AB105B-57DC-4121-B6AA-887A0DA4596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0646C7-C5AA-4A00-828B-ABFC4C9B8CD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0F9917-9D7F-42B1-A6F1-FD5EDF9AFEA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6C28CD-7AF0-414B-A276-8078CE763C7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04800" cy="311150"/>
    <xdr:sp macro="" textlink="">
      <xdr:nvSpPr>
        <xdr:cNvPr id="7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49F66E-9F2F-4683-9EBD-D9FCBC626F5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4B0D2AF-F79D-430E-B0A1-A49A634588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E15E90-F231-419B-AFF6-C9575C0AC5F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B78D69-A59A-4C5B-B34C-2B797F076D7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B4859F-6C25-437A-9BC7-2C8634C29E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08468B-1CD2-4E9C-899B-C4A665BE957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5811DA-660E-4E9C-80D9-B3DBE95DF6B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7FC617B-976E-4A2B-BCB3-B6FDD333346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269</xdr:row>
      <xdr:rowOff>0</xdr:rowOff>
    </xdr:from>
    <xdr:ext cx="304800" cy="311150"/>
    <xdr:sp macro="" textlink="">
      <xdr:nvSpPr>
        <xdr:cNvPr id="7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DF71A9-BAD5-4310-9360-026D2E90DC6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269</xdr:row>
      <xdr:rowOff>0</xdr:rowOff>
    </xdr:from>
    <xdr:ext cx="304800" cy="311150"/>
    <xdr:sp macro="" textlink="">
      <xdr:nvSpPr>
        <xdr:cNvPr id="7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60F8C6-0D8A-4BF1-A896-C311A07A96C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F4B05B-E32F-41E2-AB74-20640C9E787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168307-1CDB-4E76-96B6-07B00E0892A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CBE24D-8562-4075-BC55-8FF8A8FBF57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1616AC-C664-4344-B818-61B8709CCA1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F56179-7A10-44E9-8BD8-624708FCC72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F74CFF-D38E-43FE-97F0-5386AF4E2E0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9ACAB01-69FC-4FA3-BEA0-007EC9B0A22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FC0EDC-EBE7-42AA-9340-50FA10E55AF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265</xdr:row>
      <xdr:rowOff>0</xdr:rowOff>
    </xdr:from>
    <xdr:ext cx="304800" cy="311150"/>
    <xdr:sp macro="" textlink="">
      <xdr:nvSpPr>
        <xdr:cNvPr id="7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0FE578-367F-4C12-87AB-0C3494CB411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550661-E63A-4F86-86CD-36C9CA6C9A7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CCCA94-0F58-4CC7-B891-BB60ADCDDD1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D2BF082-2532-46D4-A825-E222D9F4277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FA4B26-BB63-4010-A27E-68387F93B62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5E2A6B4-C2A0-4BEA-A65C-E34DCCD1B1E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A45F61-E950-4D83-BA79-25402190B9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7996D9-F8F5-4550-BDE0-731AC7D350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263</xdr:row>
      <xdr:rowOff>0</xdr:rowOff>
    </xdr:from>
    <xdr:ext cx="304800" cy="311150"/>
    <xdr:sp macro="" textlink="">
      <xdr:nvSpPr>
        <xdr:cNvPr id="7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12AE9CF-FC72-4461-9188-D967EA2E5E2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263</xdr:row>
      <xdr:rowOff>0</xdr:rowOff>
    </xdr:from>
    <xdr:ext cx="304800" cy="311150"/>
    <xdr:sp macro="" textlink="">
      <xdr:nvSpPr>
        <xdr:cNvPr id="7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73AA0D-3A45-4C09-BCE0-0EFBB353554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CF48DB-839C-4785-99EE-9CF0DAFEA56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429E81-20B7-45CA-BBAA-B571B994C4D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A5E3200-C4D8-436D-BC70-286AD4E08A1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5F5331-7931-47DB-ABC1-2BA5715E7A3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2E56BE-8D6F-45DD-A633-7EFE7B9BEFD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2017B6-EADF-4777-BF8D-1EA7FB9EEE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3FEDFC-DF0F-4732-AFED-12E6756CAEC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669228-8ED7-4D0E-8FAF-23C9C12C4D1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259</xdr:row>
      <xdr:rowOff>0</xdr:rowOff>
    </xdr:from>
    <xdr:ext cx="304800" cy="311150"/>
    <xdr:sp macro="" textlink="">
      <xdr:nvSpPr>
        <xdr:cNvPr id="7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1F3F4EC-5F7E-4BCB-A20E-13B09A60181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A34800-F43D-4FDB-BD96-7AAA422AC53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35A0340-DA7B-47F5-A9FF-A3EC6F5AABF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E61907E-F0AB-469C-B196-318C37EAB24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DA594D-DB56-49A8-99D6-02ABCD08D37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21AF3F-0334-4F48-97E6-95ADE12B8AA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D6AA305-E96B-40A0-BD52-D4A8F419D89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A957009-7EF5-495E-9320-24D98E5749C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257</xdr:row>
      <xdr:rowOff>0</xdr:rowOff>
    </xdr:from>
    <xdr:ext cx="304800" cy="311150"/>
    <xdr:sp macro="" textlink="">
      <xdr:nvSpPr>
        <xdr:cNvPr id="7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4EBC8C-2C14-4DB4-AFF5-0C0FF9327A8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257</xdr:row>
      <xdr:rowOff>0</xdr:rowOff>
    </xdr:from>
    <xdr:ext cx="304800" cy="311150"/>
    <xdr:sp macro="" textlink="">
      <xdr:nvSpPr>
        <xdr:cNvPr id="7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864A39-B2F6-4449-84EC-AE8011597CC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EAFC59E-B4BD-416E-B044-834A948053B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86E249-ED9E-4A67-A831-CF3BD75EA3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E1549E-9F8E-42CC-A548-A58B14A8F7C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26468E-0341-435E-9F9E-9CCEFE6B3AB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A226DDD-0D68-4BCA-A559-6F952B4469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40649D-8CBB-4CAC-BAAE-3070AF876C4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1452D0C-5F0D-42FE-B6EC-5A6C1B6285E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16CFA5-89A3-4517-BFE1-1AEB5B5190C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253</xdr:row>
      <xdr:rowOff>0</xdr:rowOff>
    </xdr:from>
    <xdr:ext cx="304800" cy="311150"/>
    <xdr:sp macro="" textlink="">
      <xdr:nvSpPr>
        <xdr:cNvPr id="7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A375BA-4C27-4ABE-9B07-2D58B57975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7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8EEEFF7-33F3-4F0E-BFC6-1A37C0E4CC4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7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79E248D-CC36-4A5D-A295-030B0BBCE4F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7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DFB4DC-CD45-4256-A9B6-DEF76CE40F6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7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EEEA4B-BD4B-4FE9-9F5B-EF53D72D286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7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AE9033-6223-49BF-9614-73E3353B8B0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8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08F2AC-0DD5-49CE-A26D-09673FA2D5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8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31FFEF-E847-43E9-91F3-836900A0604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251</xdr:row>
      <xdr:rowOff>0</xdr:rowOff>
    </xdr:from>
    <xdr:ext cx="304800" cy="311150"/>
    <xdr:sp macro="" textlink="">
      <xdr:nvSpPr>
        <xdr:cNvPr id="8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4DDB1D-04E8-4943-91BF-61AD5E18DD5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251</xdr:row>
      <xdr:rowOff>0</xdr:rowOff>
    </xdr:from>
    <xdr:ext cx="304800" cy="311150"/>
    <xdr:sp macro="" textlink="">
      <xdr:nvSpPr>
        <xdr:cNvPr id="8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9F75AD-77FB-4888-AA76-17AFAD1103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8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962D3A-EA92-4E87-B6E6-DF8BCCD39DE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8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E397DE-0EDE-426C-84C2-87CF15B7D16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8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F47387-3ABC-48BD-8FD7-5A0ED14BB6D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8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EFBEBE0-938A-4B87-B680-443449F8D76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8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EED3D5-CD5E-43CF-BCD0-B54B764AF3C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8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853E40-91D5-42C5-A13E-D8E21136439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8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82F792-6C6E-475E-8918-10C8E40E4C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8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9ECA292-2E57-41DC-8FEB-5A0FEA07CF5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247</xdr:row>
      <xdr:rowOff>0</xdr:rowOff>
    </xdr:from>
    <xdr:ext cx="304800" cy="311150"/>
    <xdr:sp macro="" textlink="">
      <xdr:nvSpPr>
        <xdr:cNvPr id="8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F97C08-0138-4E88-8E91-7C8EE5C893C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F36C759-19E9-4005-94D3-063B7B3A6B6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06FE878-7EE8-467F-8330-0A907052C0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CEA474-A120-4AD0-8C12-226C88E81B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A77F4D3-AD46-4E34-9108-360369E9F1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34AEFE-4525-4CE5-A878-8903D812B2D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34EEB0-F301-4723-B59D-F688EC23C06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4D9F78-F84A-44BD-B9D8-8ACCD7D98AA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245</xdr:row>
      <xdr:rowOff>0</xdr:rowOff>
    </xdr:from>
    <xdr:ext cx="304800" cy="311150"/>
    <xdr:sp macro="" textlink="">
      <xdr:nvSpPr>
        <xdr:cNvPr id="8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E2FF79-C17F-4E40-9A8B-80DEA3F99A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245</xdr:row>
      <xdr:rowOff>0</xdr:rowOff>
    </xdr:from>
    <xdr:ext cx="304800" cy="311150"/>
    <xdr:sp macro="" textlink="">
      <xdr:nvSpPr>
        <xdr:cNvPr id="8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0DE51B-8FA9-4163-B7CD-98062BB3F9A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6EBD79-2F82-4856-AAFF-E53AC3D969A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9C6CCB8-9CB2-4717-9537-C32B4C73ED8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060294-AEB1-4F44-8D4E-39DCCAA9FAE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D72FADF-4128-4304-A1F2-39E794600E0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13310E-9649-439F-A68C-B8AFFEEFB4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2FF1C9-E04E-4093-AB28-5B3E077A520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366495-263E-4356-B77B-F2044BE63DD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8380C5-9350-46A1-929A-E6709797091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241</xdr:row>
      <xdr:rowOff>0</xdr:rowOff>
    </xdr:from>
    <xdr:ext cx="304800" cy="311150"/>
    <xdr:sp macro="" textlink="">
      <xdr:nvSpPr>
        <xdr:cNvPr id="8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79052A6-2340-4B12-803D-222F40AE13F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A83A85C-D39C-4AC4-AE02-610F41B985F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11B95B-D0D0-4365-B5AE-7044A1C962D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89E64D-BD95-4AA6-AD22-DD82FE83A2C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9D1526-A6C4-4CF3-89BC-7EF4CD77B6A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19CA68-FD2B-48C4-A757-C769619EEC8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38859D5-A028-4539-B938-A22753859B8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050B56-6947-46C9-B3BB-4350EA1B0B5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239</xdr:row>
      <xdr:rowOff>0</xdr:rowOff>
    </xdr:from>
    <xdr:ext cx="304800" cy="311150"/>
    <xdr:sp macro="" textlink="">
      <xdr:nvSpPr>
        <xdr:cNvPr id="8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05DD25-C28B-4696-A4A1-D7A1119ECE1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239</xdr:row>
      <xdr:rowOff>0</xdr:rowOff>
    </xdr:from>
    <xdr:ext cx="304800" cy="311150"/>
    <xdr:sp macro="" textlink="">
      <xdr:nvSpPr>
        <xdr:cNvPr id="8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76A07D-94A4-4140-A11F-0792971E0D5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BAE36F1-B06D-408C-BB44-E5DA0B0B54E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DA14B60-8844-40C6-A264-52225BA5FE9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7F2291-D3D4-4262-8612-588F0E35F74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B5BB0A1-843D-4BD8-8842-9ECCEAAF8C8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DA8D0B-2FD8-49E2-943A-4E78EEC8BF3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140F91-950F-4FFA-8CF5-1FA1046AE2B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0FD13F-6587-4FA5-B90B-A57C6CA1C40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335D1D-738C-4950-940E-35FA23EDF62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311150"/>
    <xdr:sp macro="" textlink="">
      <xdr:nvSpPr>
        <xdr:cNvPr id="8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7AAC51-85F4-438F-92DB-03F225F1339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173C884-C424-45B2-B5CE-79D67D81195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9463C7-5C90-4525-8993-9462C7CA067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2019A6-0DA2-4EA2-869B-AFD2472E18A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D2AA34-E68C-4D01-AEF1-4092EB48C98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333519-781D-454B-B6B0-B16F62848D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699088-34A9-4868-B475-FF054A2BDF4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537388-A02B-4D69-AE8F-7F7D6D5A687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311150"/>
    <xdr:sp macro="" textlink="">
      <xdr:nvSpPr>
        <xdr:cNvPr id="8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3CA7D6-D922-48D5-AE0E-27C7E0FF2E0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311150"/>
    <xdr:sp macro="" textlink="">
      <xdr:nvSpPr>
        <xdr:cNvPr id="8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888091A-D9E2-4737-BE5D-AACAF20EBD7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D4CAA9-CB55-4EF7-A968-F8E8FC03C08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5790CC-7878-4354-B3A1-0A59AC25C50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17E615-000B-4D15-AA4D-3E23E3A2A1C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E705CB-AD9E-48BD-A007-61C12A840BA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623E27-B44B-4764-BF51-41CD1C965D5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6710F2-7F39-4840-9B37-C88689BD819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29848C-7A7E-43D4-ACFA-16BBC22D58A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E2EE55-7283-4219-AAF3-45A260B698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229</xdr:row>
      <xdr:rowOff>0</xdr:rowOff>
    </xdr:from>
    <xdr:ext cx="304800" cy="311150"/>
    <xdr:sp macro="" textlink="">
      <xdr:nvSpPr>
        <xdr:cNvPr id="8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67ABF3-F2BA-48DD-A93A-C37272EB42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F33824-F90B-4FC0-A374-5922FD37DD1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08B4F6D-24A0-4B27-ADF0-03EA5D1AFD2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6DBE3BD-6379-457D-8A99-90EB516A898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13EFB6-5DBA-473A-9DED-B45663D01E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0DB82A-EA65-480C-9F40-0E78D6117CD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B6F796-C30F-4B94-94FD-A1AC7E228CF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1D83E1-65BC-49F0-97BB-15EC4C12DD2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227</xdr:row>
      <xdr:rowOff>0</xdr:rowOff>
    </xdr:from>
    <xdr:ext cx="304800" cy="311150"/>
    <xdr:sp macro="" textlink="">
      <xdr:nvSpPr>
        <xdr:cNvPr id="8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CBBF79F-8ADF-4E42-BC4C-BD87EEF04EE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227</xdr:row>
      <xdr:rowOff>0</xdr:rowOff>
    </xdr:from>
    <xdr:ext cx="304800" cy="311150"/>
    <xdr:sp macro="" textlink="">
      <xdr:nvSpPr>
        <xdr:cNvPr id="8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403493-1053-46FA-B5FE-A20728149BA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82E27A-68AA-4983-AD25-102B44A8515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B8B895-4E99-41DE-9C4D-33D72CA5926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E451A0-A211-4124-AF89-30F2F341D40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9F5C33-FE6C-40AD-BEAA-348FE218254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475D1C-DF24-49DD-B0CC-B8BF90B0328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B89741-EBA6-4F9D-93CF-5FEB454F17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64FCB9-EE37-48D4-A8D6-0A079A5548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7B582B4-B8BB-45DA-BF37-443FDFED775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311150"/>
    <xdr:sp macro="" textlink="">
      <xdr:nvSpPr>
        <xdr:cNvPr id="8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1525EE-699A-482F-94A5-996B27F5854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10E2B2-AEC6-42D9-8AA8-5CC96C33CDB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2B345A-1015-48F9-8546-B46E4A432D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0BBC24-7FF2-46F7-BD00-8F45EFBE870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9E29F3-329A-4316-A2D6-F9F83B01771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2232FE6-0F69-46F3-B8FC-9464345BF2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5B1B48-4AFA-4CEF-B2A3-9B15EBEFED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484CD6-339C-4B27-AEB4-CD25A0BF3CA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221</xdr:row>
      <xdr:rowOff>0</xdr:rowOff>
    </xdr:from>
    <xdr:ext cx="304800" cy="311150"/>
    <xdr:sp macro="" textlink="">
      <xdr:nvSpPr>
        <xdr:cNvPr id="8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B25AC6-9E36-4921-80D1-12E6FF59E98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221</xdr:row>
      <xdr:rowOff>0</xdr:rowOff>
    </xdr:from>
    <xdr:ext cx="304800" cy="311150"/>
    <xdr:sp macro="" textlink="">
      <xdr:nvSpPr>
        <xdr:cNvPr id="8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8D5B1C-E793-47BF-8226-1599B12D542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F0A124-E745-414B-9FBF-CE184D23E4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313059-DF50-4BF7-B23A-E8780F597B8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E68011-3489-4195-B2F6-F765C64FAA6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8B36EA-E8E8-41AD-9284-2E33E8C2676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2ADED8-B4D1-48D7-B024-18AF0B9EDF9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8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DD85E6-9169-43F4-873D-3350DC9BC53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9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A7FB6CA-B57E-4BD4-B39F-D1D8B979D68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9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F82E937-B5E2-4A19-B2D7-601A7A347E2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217</xdr:row>
      <xdr:rowOff>0</xdr:rowOff>
    </xdr:from>
    <xdr:ext cx="304800" cy="311150"/>
    <xdr:sp macro="" textlink="">
      <xdr:nvSpPr>
        <xdr:cNvPr id="9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D782F6-B0D7-4AF4-8AD7-6D855CF94F7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D3B3A90-3E79-4AF3-8835-EE6498A81C1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1FF96E-B196-4EB7-8CA3-689779F6D17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8D80D2-79EB-4733-81FC-324470EF56A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7AF8D04-71E7-4B8C-89EB-0032224FD90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FE0C716-AD4C-4983-8CAA-7413EAC6A61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FFBD1A-2F71-45A4-8C4D-454AD5B280C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E33967-C2EA-491B-969D-5F8D055776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215</xdr:row>
      <xdr:rowOff>0</xdr:rowOff>
    </xdr:from>
    <xdr:ext cx="304800" cy="311150"/>
    <xdr:sp macro="" textlink="">
      <xdr:nvSpPr>
        <xdr:cNvPr id="9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3779FF-1640-436E-870E-1292ED9D737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215</xdr:row>
      <xdr:rowOff>0</xdr:rowOff>
    </xdr:from>
    <xdr:ext cx="304800" cy="311150"/>
    <xdr:sp macro="" textlink="">
      <xdr:nvSpPr>
        <xdr:cNvPr id="9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7BEF7A-6D94-4F9D-8D6C-68741C98C95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1529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4F1635-192D-48CF-9828-EB508B0FBC4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C96678-A24C-4123-960C-42DFEEB28EE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1A1560A-6B95-4FE9-9EE0-3B30BFCFC20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00FAEEA-F108-40AC-A405-6779DD44CAE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F986E05-7C5D-4A85-8891-4523A494D48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2AFEE7B-5B1A-4A2F-9154-6D1B349A845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41A8B44-6690-4C8C-A494-9AB3ED35533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95FD7F8-D956-4221-9BD9-1C75C539012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211</xdr:row>
      <xdr:rowOff>0</xdr:rowOff>
    </xdr:from>
    <xdr:ext cx="304800" cy="311150"/>
    <xdr:sp macro="" textlink="">
      <xdr:nvSpPr>
        <xdr:cNvPr id="9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80C0C1F-FBCD-4014-9C99-AE086D9AD5D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40143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DD282B7-1B9F-40FF-99B6-41501CC4638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620F16-F129-47D1-803A-707C5767CDC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802C023-6FB2-4CBA-AB98-5F17119CF42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E752D9-9AEB-4D66-8084-3529104FC3C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7FED18-8450-47CC-A606-F65C9C3F66F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E4FCC8-2665-4DC4-9445-EB7E1D7CB0C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0D5AD7-25CA-48DC-846A-8BF3D677FF3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E24142-6F54-47F5-8A0A-A9D99365768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5AB7FF-00FD-4C69-97DD-FC8AD12CC26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E66872-8814-4EAD-B68F-A011C61A0D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035CC3D-6861-49CE-92D4-8F494927FEB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EE7BDE-2BF1-4AC5-B806-BC54DB22E7F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AF6754-6EFF-4E22-B07A-7CA98EF76DF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8C6D8B9-286F-4F3E-A24F-F0A3B5ADBBC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9F3474B-64CA-48E1-96F1-BF2BBD40B01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3D7A88-CC24-475D-8ACE-81FACC1B7A4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3BD6B0-ADEF-4497-9146-B1B91F4FF40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AAED0B-EF17-423A-BF0F-1A0E1739688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9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E61FF9-6B8B-4DED-96C2-D1AC1EB1C0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FCA9A7-E72E-4229-815C-13B3904E8D3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109BBD-96C7-41B1-B9A7-1C6E7EA1A8B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9131278-2971-4A8F-AC69-CCFE3B64176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3A5B6C-0D1B-4922-9D31-BA61FC17961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0747E7-BA6F-4702-90C3-34239E7651E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1F1110-30A8-4AC8-AD29-EC9C73D1BD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DC8E17-71D3-44AD-AC7D-E312FA1AE21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B1B010-1807-4C35-9E25-C8DB71FF2A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941425-1AD7-420E-BB7A-A6E3F6FF93F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F7DB15-66EE-4F3F-A9E7-9FBDA1582E5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B3DAFA5-DFDC-4066-88AC-28B01DADA7F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9EB215E-5418-4BC3-88CB-0B1796C7EBD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6146A27-5335-44AC-B2F4-283C2F9805E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033D49E-8D37-4CF9-9993-C167A835985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88B62F3-F61D-496D-8B60-47E367EBED7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B1F7D8-9FBE-4332-A04B-37E07EB0A09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D3D730-8C9A-4A14-AAEA-9E2C180CAC3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CEAA28-9C16-459A-805E-86AA53163DC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399</xdr:row>
      <xdr:rowOff>0</xdr:rowOff>
    </xdr:from>
    <xdr:ext cx="304800" cy="311150"/>
    <xdr:sp macro="" textlink="">
      <xdr:nvSpPr>
        <xdr:cNvPr id="9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F2BD250-B1BD-470F-8CAA-11CFADA3AE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72BD7D-BDA8-4C7A-A3E6-56FF9FC234A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9323BF-67DD-4CC8-9015-07B3BD4372F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8AA0DE-51B8-4FD9-B7FC-9A4E762600E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460AED-0FF8-4922-A37A-494690130F1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068ED6-07BF-4677-9119-99FFB6FD449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4F4512F-CBC8-44AB-BAED-BAFAAA25E1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09AF9B-22A9-4B20-BECF-FCBA5EBF1F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4F6A792-AE76-4F4A-A8E6-9F2076BF1C8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7E8AB7-0B19-42E5-9EDE-9C40E34D681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CA6C4D-0604-4C47-9890-82D369F201F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446939-CF8B-4ADA-A276-70FCB0F5E29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B5B2A7-6801-47C1-AA37-12938AED64F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9BC14D-5F8E-45B9-99C5-33B1AE0A3D7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AFB8F3-9B76-456F-ABCB-4A126C66203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B9D78ED-47F4-4D61-BD5C-EB9A070C045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6DE985-D75E-47F4-8B03-578A145B4F2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F65B28-AF8A-4E17-A445-9AD1E0CB15F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2681CD-0441-444A-832C-16E97E3699B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375</xdr:row>
      <xdr:rowOff>0</xdr:rowOff>
    </xdr:from>
    <xdr:ext cx="304800" cy="311150"/>
    <xdr:sp macro="" textlink="">
      <xdr:nvSpPr>
        <xdr:cNvPr id="9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3DA3DED-FF6E-4783-93AE-5D8ADF8279E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6534818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96DBC2-8AF6-454F-A038-A043FC64674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3424FCA-99CE-47E2-9E97-5BC96A0072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BD606B3-D71B-4E91-9209-D49E6C1390D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0CF08D1-0D23-4493-8EA6-812E1128F5A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1913E8-F419-434B-8225-1056F9EA62E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774C24-F780-46DB-9E42-0103DDA95D1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99DEFE-78B5-482B-9DA9-F4E6495F17C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597F8D-214C-420C-B2AE-E8FDE3AD078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DA374F4-60E6-4ABE-858A-46369DF9108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250B1F7-DAB9-4B3A-BD6D-CEBFE951076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D6A02F-C548-4394-80F0-497AC3A01D7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CF4A48-CB8F-4C17-9F80-C8DE6D2BD72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81D8B42-8B01-45A8-AE06-42E2C256407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9C3CFE-ECFA-4AE3-9EAE-12CD4C98163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C2C96B-A63C-4024-BC44-A5E7CBC184D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DC2B96-153D-47FA-A3E7-823FCDEB6DF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C75D33-FD7A-4985-8130-EAE01CF443D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9EA151-A2F6-4535-B6C0-7F09F17D49F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383</xdr:row>
      <xdr:rowOff>0</xdr:rowOff>
    </xdr:from>
    <xdr:ext cx="304800" cy="311150"/>
    <xdr:sp macro="" textlink="">
      <xdr:nvSpPr>
        <xdr:cNvPr id="9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70CF4F-8C50-4A40-AE56-81D3142BC49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79305727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9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E80851-A47E-4BBF-871B-46C74537593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9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C69EF28-4F0A-4CB2-ACB2-6DB368008D3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9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30033FA-B700-4B84-AEB6-0E898895703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C47A18-EB4F-44DB-B0B8-D5C060C022F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CFC1A9-229C-4753-9FD7-998E24960A1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F80C57-9226-4BAE-ADE7-4DCBA41A6FD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190985E-B973-4747-94E6-EFBB009F629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F85C96-D55B-492E-8F8C-32514BC83B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0EC5A1-2A00-4DE4-B279-78BAEBCE388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A7A770-53F4-49F1-B08B-F9E0EAF2B68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310109-3BF8-4E70-8FCE-EA6F6027F1C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79D9C38-7C9A-4D7A-AA29-CE9C4298CF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25CCAA-2374-447F-944E-DA66FBBA2EC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E827305-9DB5-482A-93EF-02AFAC81D1B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76017EA-6118-49F0-A4A7-BB400EDE17E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9B4EF9-BD51-405B-BBF7-48064F04C9F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F9B2F50-6784-495A-8962-657CEBA9A93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0D046A-DC4A-4EEE-8BA9-CB6DA61096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407</xdr:row>
      <xdr:rowOff>0</xdr:rowOff>
    </xdr:from>
    <xdr:ext cx="304800" cy="311150"/>
    <xdr:sp macro="" textlink="">
      <xdr:nvSpPr>
        <xdr:cNvPr id="10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C6C60A-7A84-45AB-B907-F096572D71D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17DA66-1EAD-4304-A7BB-F523971A163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AB2B07-7AA6-4620-B29A-440957014F6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E23222-C6A2-4989-9E6D-D9FEB42150A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B110AA3-BD2A-48DE-9372-F954B539CAB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DC5D1D-C0DB-4F7A-B8A3-E7B9C443936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A49BAD-4904-427D-BFD4-3B7339C5C88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255C55-01CA-4819-9059-743618FDB23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BC4C12-F78D-4836-8435-E67D9820BB8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BE7B251-BC8E-44A0-996F-7837DF8B7C3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5082C56-7C42-4954-BB3D-8A9957627A4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453E2B-CA9E-4B5C-8E50-51D46D6D60F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635CAB-D3F6-43D7-9BBF-1225A3AE90C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1B0038-8491-4F4A-8DA1-028DCB01BDB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05E7E4-64A8-4080-BCF6-9826EFCBA8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C0AAF2-C60C-4A3F-B06E-3744DBEDA71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7415E58-663F-4ECB-B44B-CE045F88464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EC9FE8-596B-4F9A-8786-B0599F6DC19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1A2AAF-5498-45EA-B745-DCDB7A59C9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413</xdr:row>
      <xdr:rowOff>0</xdr:rowOff>
    </xdr:from>
    <xdr:ext cx="304800" cy="311150"/>
    <xdr:sp macro="" textlink="">
      <xdr:nvSpPr>
        <xdr:cNvPr id="10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157838-C7FE-43BD-96F5-6D6D1C4B382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26143E-1DFA-45B5-834B-64BFA60A9FA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1F885D-698C-4695-A32F-0C042F32B06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D40098-8312-4A27-9AFE-1168D4CE3E7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AA2E68-9FA9-4A0E-8836-4FD8CFC2089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923B30E-D3CB-495B-8F85-250F3F1DDA1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B7875F-9E6C-4C69-9148-351F32C1BE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B7AF1D-8336-48C8-8284-09B838EF86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BB9989A-B276-4065-92C9-D3A03D88F31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BCBCD34-0F25-4B6D-9A8F-C23B6150167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02BD012-C09A-4408-8875-40F23CF8E9D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11E828-4855-4B8E-A45A-E8746A0F760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CE368B2-36DB-46FC-8DDA-75530C4FA59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8B0445-CE69-4A7F-BD35-1A644DEF1B6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E516DF7-6BE4-47DC-AE14-EE73A40C0A2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5A9CDCC-AD44-4825-AD00-656FA26F095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213C9B-2226-4762-B331-984C4511CEF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6074DB-B055-41E2-A1F7-DD4DC0E8012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96A1139-AC4E-4BE7-806D-15CFE14E8B6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419</xdr:row>
      <xdr:rowOff>0</xdr:rowOff>
    </xdr:from>
    <xdr:ext cx="304800" cy="311150"/>
    <xdr:sp macro="" textlink="">
      <xdr:nvSpPr>
        <xdr:cNvPr id="10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D10F13-4854-4063-ABB7-C22F852DCD7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246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0961A4-14D9-4C0E-9E88-138A65DAA2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3CEF0E9-0BE6-42DA-BB4A-6C5F990E421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7CF4BA-36CC-4590-AA3B-9AB00EEA277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E01E18-2C68-4E87-952B-44135485C9E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5E4683C-7B7D-4929-8877-4C21022CDED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F8AE0B-47DA-4725-9C07-54D8263548E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A39753F-1494-4F70-8B34-C46D7A1AD0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BE785C-BF98-466D-9C36-9C360BCC069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EA9CBA-AD32-43DD-B217-67A84047208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7DC59AA-3DF8-4BAF-A033-3005C36ADDB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2C7448-A700-40CE-9FA5-8661016A9EA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808FAC1-CECC-4A7F-BACC-ABBF54DA00F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D074B6-69E1-42AE-B358-83622DEF685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1FB917-0B97-4813-9B69-F6FBD7E10E6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0F0EDF-6C06-495C-9C21-EE31E509361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8DB7E5F-55EF-43FB-80BF-A080530DB29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E72B03-AB57-4CDF-8331-6DD60C5472A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20</xdr:row>
      <xdr:rowOff>0</xdr:rowOff>
    </xdr:from>
    <xdr:ext cx="304800" cy="311150"/>
    <xdr:sp macro="" textlink="">
      <xdr:nvSpPr>
        <xdr:cNvPr id="10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02C8F8-E2E3-4E7E-973E-2C9F3FE90A9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2076636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23092</xdr:colOff>
      <xdr:row>47</xdr:row>
      <xdr:rowOff>230910</xdr:rowOff>
    </xdr:from>
    <xdr:ext cx="304800" cy="311150"/>
    <xdr:sp macro="" textlink="">
      <xdr:nvSpPr>
        <xdr:cNvPr id="10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66AED4-3C75-49B0-BD2A-940F1D109ACB}"/>
            </a:ext>
          </a:extLst>
        </xdr:cNvPr>
        <xdr:cNvSpPr>
          <a:spLocks noChangeAspect="1" noChangeArrowheads="1"/>
        </xdr:cNvSpPr>
      </xdr:nvSpPr>
      <xdr:spPr bwMode="auto">
        <a:xfrm>
          <a:off x="16671637" y="3544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5B8AD5-AEFF-45FC-949E-DDA3704C703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B8C7B7-89B8-4B19-A839-A6167E1C547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C97BE7-589F-42A5-8D31-75E00542655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FF8177A-3AA1-47E3-B75C-3AD2F53C120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06F6EF-D1C1-45EF-8610-A5F20644440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1C0918-EDDD-4C41-8882-1A15F0D4C5A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1E7F39-CBBB-4A0A-96A6-3F42F8CF9F9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FBE385E-F694-4A59-97A6-1BA7F57E1B1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A408F9-7F86-4663-BF07-BC518BC67BC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E51CAA-DE41-4DDE-B185-49201F53446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CA4B18-DA69-4A22-9F8B-2BB8E5884F3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27604F-3311-44DD-A483-1FE44DB1AC6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F482EAC-8C05-4D37-8243-3E45C116B19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3E1D10-5246-45DD-856B-0BB7205B355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BF7FA0-6507-4EEC-96DD-AAF5A6B7449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FCAAA76-9505-4C9F-8625-A84AA902CF6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94FE60E-69DA-46DF-947C-4BDCA204613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F48B17-7A1C-472A-8967-A5E5A2458EE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11150"/>
    <xdr:sp macro="" textlink="">
      <xdr:nvSpPr>
        <xdr:cNvPr id="10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BA2007-AEE5-4D24-8127-2BFE641F9D1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484754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0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F45408-8F9E-4AA5-90FC-D3D016AF909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0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A67731-120B-4AFD-86D9-9574026797C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0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3B72F20-658C-4271-B113-E9AE349751F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0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26FB5FF-E038-46E2-B231-0B0F0AFE259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0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1932C8-C8F8-495C-82D5-9059B5AEDD0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0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7DF621D-3F4F-41AC-A0C0-C7CFC5B2F43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0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2924008-8C55-4ED1-A401-5F86168F313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0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ED1B95-F6B8-48DB-B9B8-84A349366BE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1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782A64-44CE-4213-BB2E-47AB72503C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1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990908-C4DF-4085-A255-985D0BAE73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1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FB8EAF-B2B3-41DB-AB73-B7DFA8F0C75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1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D9B597C-1B47-44A1-A423-A209A22BDFA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1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549555-5EEF-4075-B268-8D1F6221AE4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1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512D56-2499-4D0A-A0A0-F3159C9BB9E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1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B554D2-0A23-4614-B6D1-D25B3EEE6B7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1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A0126E-C71B-46A4-B80B-C1C314F4D79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1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AB64BC-E61C-4B65-B1C2-E71A7A9ED1E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1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BDD721-8CDE-41D9-8B9A-3C750D28F35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11150"/>
    <xdr:sp macro="" textlink="">
      <xdr:nvSpPr>
        <xdr:cNvPr id="11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2F69D16-D80D-4077-80F3-91BDD769304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2566AC-515B-483D-B774-BF33F6ABF70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D7BF717-B0C8-4450-90D5-5C113CFE42C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0D7B14-BBCF-46DC-93D8-BD7D78DAEF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843BD8A-A7DE-490A-B48B-A0A23A69D9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B35A65-D5B7-4A7A-9B1B-0F369351369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F3AD9E-367C-49E7-8D1C-64758A8C89D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E793A1-9005-41EC-8251-8A42F89B1B3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A3D52FD-E7DB-46AD-91E4-0440B0F622E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C8AE11-416F-4BDA-B60A-A48241191EA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4C9165-5E6E-4C65-B7B0-8FD68CA6709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23858A2-F139-4D6A-95B8-BF495452FA3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9B9DBD-4A22-41EA-AD5C-E8CE80D5F7E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EFC01D-B15E-4B53-B305-2B0FC080106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4317C9E-3288-46D0-AA14-B16296DE63B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647055-6BFD-47A3-A744-44A1AE41AD9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15C018-00C9-4EAF-B8F8-DC6BFBA28AD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142AFA-8C75-46A8-9E9C-6DBC6CE8680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8BD328D-1E94-4185-8F0F-B07BD4DA8F9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66</xdr:row>
      <xdr:rowOff>0</xdr:rowOff>
    </xdr:from>
    <xdr:ext cx="304800" cy="311150"/>
    <xdr:sp macro="" textlink="">
      <xdr:nvSpPr>
        <xdr:cNvPr id="11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30F288-0DDC-49CE-90F4-89D2C374380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7B5405-2384-49EF-96E1-AD6175350BD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E1628F-E698-44F0-BBD6-B0596B2C312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EF41AB-9D1D-4830-B0A6-C34B8D69EBC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DFB759-F6E0-4636-B0AE-00DA760B33A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6A5CB1-03F7-49A8-9213-3546EE977DE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B9FE7B-E01B-4E12-A192-F676F8D8D89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3DC2ED4-48D1-44F9-8C85-3FE9C15585A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BC5504-45D0-4CAC-B00E-3B65AF7BD95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5C6D46-FD84-4EC9-9FDD-00373510B4B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DFD13E-0AA7-41BA-A175-C0A458C6A19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25818D0-2CFB-483F-A1E4-2C7EBEFD42F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355E11-0D5F-45B5-98DF-CD4F2F708DD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A39E6E-ACC6-49DB-97D8-4FB3E7800C3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9B1576-34CC-4685-BA40-D383BFE9178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7E747B-9134-470B-B0F4-5CA3DC34273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DE89D2-8963-48FA-997D-8D2607F7F88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EA8C4EF-03B7-4FF8-B6D8-84E3402015B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EBC583-87A3-4F8D-B787-83B980880A0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11150"/>
    <xdr:sp macro="" textlink="">
      <xdr:nvSpPr>
        <xdr:cNvPr id="11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BFB4A0-EC57-436E-B3A5-13EC7DC236B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F4F190B-12F9-418F-A3CC-F2421FB4C7E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7EAB55-AC74-4432-A489-C8E3F880C5B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B9B867F-C30D-4789-B366-E9E1501E15D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6DFDC2-9DBD-4DF9-9849-6E4EF499CC8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C59A36-BD79-4D94-878E-ABEE541A546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F38A2C6-573B-4C55-9D50-6BAAA472CF6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45C035-728C-4DDC-B8C6-719D5EA6C1E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91C2B0-EC80-447D-A053-5A9443C35C5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29C487-7D6C-40DD-A369-F497C502B8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07DF92F-7C93-4B3B-96E4-3DE56E6DB51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FBCE2A-EDC1-4227-AA39-E0A537640B6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435875-1A50-4F8F-8465-AF584537858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B4A31F-CDEA-459E-9085-ADE268232C6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CDEF9B-9341-45FC-B9B8-5F96CE3B4B3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F6DD9B-1D93-4F22-9FC6-A785618CEA9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183747F-814B-49BE-8780-7F79EE57E9A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3097BE4-1415-421F-9EC1-7646BE2AAE1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83B9E1-56BB-404F-8964-191E83817DE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391</xdr:row>
      <xdr:rowOff>0</xdr:rowOff>
    </xdr:from>
    <xdr:ext cx="304800" cy="311150"/>
    <xdr:sp macro="" textlink="">
      <xdr:nvSpPr>
        <xdr:cNvPr id="11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AF2CD29-A6B1-458D-94C2-6F684F9BB02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D24C88-50E0-4B61-BE60-32F0F924856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985C0F-021A-4516-ADF7-0743CC503F2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657834-66B2-40BF-B4CC-4C08CCE1EC5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19FB91F-3720-4FFF-8337-CA1ACE9899B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759ECE-1EE5-431A-8CAD-C0BFAA9D746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1D05EF7-01F0-458A-AEF3-EDEC466690A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ED5B6C-721D-4A84-9376-49F6DB9BB40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37FEA8-23C9-4B00-A56E-9CE71875EDB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EFC325-3321-48F0-8062-2914A2591A4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2BC471-39BD-480A-8C03-817ED0D1E44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A42D5E-F7E6-4B07-B482-498F13E0238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0E9AFE0-6B24-4ADD-8F9D-2E145A009C3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BB8D651-C253-4ABA-A351-CD49BFD7F8B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966E8DE-9642-4FC6-A19A-556BC242284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0E22D5-2284-4320-867D-13AC3500D4C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616A69-086D-4AD0-99C6-741C11918CB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D5F4B89-776F-4AD2-903D-5EC52C4095E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8470A4-3545-49B1-B874-52AB7D92DD7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11150"/>
    <xdr:sp macro="" textlink="">
      <xdr:nvSpPr>
        <xdr:cNvPr id="11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B57A029-A7E1-4742-8B64-48658B49B05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87618455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392214D-21AC-45D1-9443-EE06EEA2D4F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32AFFA-3BE8-48F4-B879-4A2379C27CF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3730276-4677-48F0-8286-FF161750D20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1A55235-D768-4D37-8445-7556CF1435D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37CE9E-CD1D-4C6F-A62F-B481510D50E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08A4A0-E715-468C-B6E1-6D5C3E0707F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06A3FA-DDC5-4EF4-87C7-8674027D72C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F468A7-32F5-4C90-90A6-A858F2DDB06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98BC8C-C848-4A73-9D10-8E63A28B5D3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2FC3B3-8DBC-4011-B0CC-FC461C05E5D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AE7D5A-BD14-43E8-B841-685D81A1C62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2C4AA1-8324-4F0D-B3BE-5E8928C263B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1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4A6EF9-7055-4853-AF34-110F53DF848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2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60B5B3-68EA-4EB8-A370-04BD2290AD4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2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40E5F8B-DB18-433A-8275-6C60350EF9D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2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B9684A-D4C8-41D8-8109-048D7B7D2053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2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0CFAEF-6012-4DDF-9157-A5F3A0ECEDE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2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E1E0C7-4BC0-4680-9E06-07D4FFD064B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108</xdr:row>
      <xdr:rowOff>0</xdr:rowOff>
    </xdr:from>
    <xdr:ext cx="304800" cy="311150"/>
    <xdr:sp macro="" textlink="">
      <xdr:nvSpPr>
        <xdr:cNvPr id="12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4E716D4-9716-4AE9-A465-CE5EFEF9739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0389364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89FB77-3713-40E0-9421-529C9D289D91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E2412D8-37F1-4C2A-8079-C4A36033453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044435-E1DD-4180-BD29-58B945EA23B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EF0CFA4-7289-4028-BD16-1730FCF8F8F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3D2A956-93B5-4E96-85F4-1F03ED6BED3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53149E-DC3D-4490-9A10-0EE7EB53F05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B528814-3D9A-451B-B9C9-8A352AB1279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A934533-BD36-45DA-815F-AFDED846E8B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03FD2E-59A3-4CD6-BBC7-FC436F06C7A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B5BABF-F804-41C6-80A6-AD145E7735E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7D669C-1B8C-427F-A688-FBA5E270D03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08E4A3-CD84-4D63-B936-A4384059B1EE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9476C9-4379-4017-A035-DFF2B928008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8F2717-2FB6-4024-BF96-66DAFA383AC5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89E241-0426-40A5-B9D3-5C3A695F0A5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595EEE1-A4EC-4AE8-A3F3-ED48190CE1A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2259B05-722F-455C-8CB2-871D6A824C7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849F43-1D0E-4A14-9324-0042D053C8C0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11150"/>
    <xdr:sp macro="" textlink="">
      <xdr:nvSpPr>
        <xdr:cNvPr id="12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F7CD965-8DB6-4FF7-826D-8CCFCC0F254B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3160273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4349C40-6A15-448A-ABE3-CD5CC4452BE8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C161795-AEB3-4D52-8513-FD2CA7F7000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F5DBC1-2804-4FF9-9A4D-D2EEE7D00D6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2F29303-14EA-49BE-9FE4-C729B807A5D2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4192185-DCAE-4D8E-B41C-B9E7D3410B2F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378311D-4412-4DBB-8691-9F3A23C1C057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41E586C-BE15-4320-BE34-5070B8E11C8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E12165-D45C-4B6D-A3E9-3B6029F8C18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EC364A4-5997-4E33-B323-15004107FADD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34B0F2C-1FAC-4B3C-8716-8D7CDF373FD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24DD99C-A843-4E5D-8630-8A5F476FC0C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37ED0D-1FED-4ACA-B9CB-93982BBA309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9DD3A0-8378-46EC-8602-351032D91E66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C060A23-468C-4D99-A02C-6275468FD6A9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8463713-31C3-41A8-AD35-870462F33D1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24F8E1-8B0E-4E2A-B5DF-FFEDC03408C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E13739-D72C-4E0A-BC33-B502499AD544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8FBCDA9-02B9-4414-AE3B-77841E1AC3AA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140</xdr:row>
      <xdr:rowOff>0</xdr:rowOff>
    </xdr:from>
    <xdr:ext cx="304800" cy="311150"/>
    <xdr:sp macro="" textlink="">
      <xdr:nvSpPr>
        <xdr:cNvPr id="12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A6D723D-F404-40BF-A348-976F52A3E56C}"/>
            </a:ext>
          </a:extLst>
        </xdr:cNvPr>
        <xdr:cNvSpPr>
          <a:spLocks noChangeAspect="1" noChangeArrowheads="1"/>
        </xdr:cNvSpPr>
      </xdr:nvSpPr>
      <xdr:spPr bwMode="auto">
        <a:xfrm>
          <a:off x="18230273" y="95931182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9725EC-048D-4F8A-BDB4-9D1D5F90A85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BBAE6E6-64FF-49E1-B434-84525C8169B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DA42E3-ABDE-4774-B360-747345007C5D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5C5CF0-866E-45F7-8B18-BE4BDB1E6DD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CA3FF2-A806-460D-8EED-C75FF20F219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99FA07-E9D0-42C7-8D6A-EF9EE561AA4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DE529F-EE23-4DBD-A4EB-A6041526B147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B7A692C-84C2-4653-8F00-9185E89D594B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C5DBD9-4E80-428D-B3F8-FF72A085D36B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9A485B-6384-444D-A365-59CC6DA188B0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FBDB84-4D85-41E8-A29B-3F3A9D876A5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22A7E99-F08D-4B5C-B3B3-20D92E3D03D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759099-CFA3-4678-B7A9-9A2F33A4793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E1D157C-D192-4EAA-93B8-15AA1DE703AA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A5F4D0-56BE-41EC-97D7-97960D6CBD0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80F9913-2BB6-470C-B037-69EFB0A96CAD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F049EA-887F-4D32-A32A-97D267DE1414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2C5943-76DB-499A-BEBB-047A79372FD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311150"/>
    <xdr:sp macro="" textlink="">
      <xdr:nvSpPr>
        <xdr:cNvPr id="12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8FA8269-7C1C-45B9-9DB0-E75F75841D62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10528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0773C3-CB59-463C-9308-99D58099CF1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25DA75-041B-4344-9D97-DD40CC6DFA2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C095FD-F737-4003-AB9E-8266F1FFA3C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ECC572-4764-43D0-A0D3-4647F3CE3ED4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91CA8A9-F581-4C99-AC2B-8006883852B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1015914-1CD2-421C-9D14-BD4A632E81F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3018F89-C1E3-427C-9277-0C866C7F823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0E782D-9D5C-4634-810C-4FFF45F7FE6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AEA5F7-012E-4784-A95F-5E093DC3CD0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70202C4-9E86-4898-9947-2D41848F05DA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2AE7CB-B786-410E-BC23-850DA4D79B4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5E4EEC4-AB6A-48CE-B5F8-DFF0548C30A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119FA2-7E38-4E0F-8E38-2193E9CA353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CD51AB-4722-4C1A-BF83-ADDC9FE52C9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B904244-B3A2-4E6F-92ED-64F1208044B6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A70C40-AE63-4219-9575-583ACF78ADB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289383F-3701-4B64-9833-93F393FC9D4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7A02ED7-9B19-4A8A-A0A4-D9C156968AC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FA428D5-1359-4F4A-9F3D-DE364D99BB6D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F1EDAD-9E89-4A97-A04E-DB710D3100A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D39596-68C2-447D-99DA-7B11D48F9742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DFAD67-0012-4D5E-BDD0-77D2D481AC9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50F44E-45A7-4027-8D28-E5D82B6F82C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11719D7-ABE0-4B25-8B13-947D1C45B86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80B3AE-3C75-4490-9C30-6B218DC89B06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C8F37E7-9713-489D-94BA-4527F530F38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CF3459D-535A-4526-86D6-C037D69BC82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AAF667-BCB6-4C31-A661-CA87C9F97B2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99AEA2-6E29-4C1F-9A3D-063ACA33B7B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604B1D-845B-4EA5-B540-1F344934E51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7A3196-21D8-4B08-9E2B-4398BA5E0D1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DE7C3DC-FE98-44ED-B112-DBF205DC436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A1DD34-8631-486C-8E7C-C909D913FE0D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33949D-A0CE-4EBF-AB8D-E552F60A2956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1A65A9-E137-4ECE-ADDA-2DBBE752E10D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F5FE07-7888-4A5D-93C6-3104BD8ED9A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2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F06D2B-C409-4E28-B1AA-F6F28115EFD0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347</xdr:row>
      <xdr:rowOff>0</xdr:rowOff>
    </xdr:from>
    <xdr:ext cx="304800" cy="311150"/>
    <xdr:sp macro="" textlink="">
      <xdr:nvSpPr>
        <xdr:cNvPr id="13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2555BDF-EFCF-4B77-8E6E-0B45BD97884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4669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8552ED-BCC4-47B2-A962-AD02BEF68C6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3C3F7C6-A945-4F4D-B0E6-96A808CD509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DF1DB5-40A5-4145-A2D1-652CDECA0FA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6D2643-E3B2-44C2-9FBC-E4DE417C42E2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30BE452-65B1-46C9-A556-DD07BAEF5404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F84784-12C9-4DCC-B80E-AE5B3A08303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D2A017-08E9-44A3-8F50-B096DB4B762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F1CFD1E-5464-43EE-B248-760775224DD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00FE026-ED66-48B1-B54A-EA809B7690B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B7B5E3-2841-4404-90A4-8A5AAB7314C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364C82-1027-42A1-9C0A-12784E24CB3A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C36C528-5C1D-49EC-849F-15C62200441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3B82E5-218A-4760-90E7-C906BD30BB05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1CA81E-7A7A-487B-9710-6B54BDCEA94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98A6A2-AF6E-4175-BB94-C96AC8BF3280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A1E2E9-4967-43BC-AF79-68199F4C564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321E9F-0287-41BC-B77E-5E2061FD1FF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E109CE-810A-4EF8-B1C8-C2173630DE02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329</xdr:row>
      <xdr:rowOff>0</xdr:rowOff>
    </xdr:from>
    <xdr:ext cx="304800" cy="311150"/>
    <xdr:sp macro="" textlink="">
      <xdr:nvSpPr>
        <xdr:cNvPr id="13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9229C6-574F-44DF-9F86-2812F1BE813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07237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E9B0230-6E77-4632-AB0D-B147728D903C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94FA0F6-9E77-4BF1-90F2-ED45EA03956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0393B4-D2C5-42C8-806E-02C136D5C43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485FCF-44F1-4E4C-830E-EAB2F8E32EB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E39CF3-411C-4C77-AC2E-C702DC3BB18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91BF82-2B52-4C48-B807-2C10222F4AD0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9E8950-D468-4E08-A32A-E3A5FB383E1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66265C-EA68-458C-86F5-5B1EA67C9D0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41D33F-BE0F-4C82-B346-B2BD8A7E75E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3441D3-DCEC-4314-BD3E-F74F2353779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9E44C9-6E01-48D8-A9EA-B6C16A0AC90E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381ADB1-C654-407E-BCF9-BFA67C9EDBC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5C30D9-F341-47FE-89E8-A0629B89CD8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A4F24E-5A7F-493A-BB60-4752E9388B49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9B572E0-67A9-4F63-BB72-D4171D74F851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A10AD7-F525-40F1-96ED-EA6094058A78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C0600B-3C3C-4BC1-B7BC-D3B2092B1E80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7113B8-5AD4-4187-A8CB-5C78A7C60A73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338</xdr:row>
      <xdr:rowOff>0</xdr:rowOff>
    </xdr:from>
    <xdr:ext cx="304800" cy="311150"/>
    <xdr:sp macro="" textlink="">
      <xdr:nvSpPr>
        <xdr:cNvPr id="13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E6529BF-FADF-4AA9-8B30-05D3D00B113F}"/>
            </a:ext>
          </a:extLst>
        </xdr:cNvPr>
        <xdr:cNvSpPr>
          <a:spLocks noChangeAspect="1" noChangeArrowheads="1"/>
        </xdr:cNvSpPr>
      </xdr:nvSpPr>
      <xdr:spPr bwMode="auto">
        <a:xfrm>
          <a:off x="18224500" y="1038098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158E413-F2C4-425A-B303-FFEAB5CA567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8D31A1-0D2A-40E1-997B-41EC363D477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F8BA28-AA31-4FA7-AAE1-2CE2D581DFF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A2FB8C4-B970-466F-B6FF-E8D7B72AE2E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D5E3C6-6C68-4910-AACC-931D473DCF7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3867C3-7FD2-46EA-9108-7F8A7056CB7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9E744F-26C1-4349-8E33-045F29CE2B8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47F2244-73E3-40C7-8D11-CCABD006BEE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41A820-E210-48A8-89EA-0198F3D1720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86A53B-241B-44EF-9594-49CD27E02F8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B218CF2-9376-4C9D-8C74-AD9CC32F251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7531763-756C-4935-9C48-188794466CD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36DF48-79FA-4997-BB94-23D83099914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F0C907B-237C-4F5F-9871-D01D1EB259C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4313D49-A13A-4EB0-B4FA-C0CE06B7CF3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A853B6-DDE6-495C-9D6A-76D57D0F78A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FA1B4FF-5797-4E49-9C26-F5FBA1A64F1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631BDE-C9E9-4336-BD21-0ABF4F76B14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3B62C6E-F5A5-43E9-9FA9-8E17C77A4DF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04D775-7DD2-4DF2-BBDB-E62824537A7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BEDC1E-0700-4B69-8202-AD842FC8CE5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DC895E-F1B1-4418-8E5D-D678914C44A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E0D3040-9027-42CC-9173-9619F67B993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DFEBF73-498C-4010-85EE-637B354FC8C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597CAA6-CF31-4AA8-8D03-0868A0EED1E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1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99FBDE-42A2-4003-8448-1D29CB79D04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2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623BE5-5912-4032-9C99-3810D41644F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513</xdr:row>
      <xdr:rowOff>0</xdr:rowOff>
    </xdr:from>
    <xdr:ext cx="304800" cy="311150"/>
    <xdr:sp macro="" textlink="">
      <xdr:nvSpPr>
        <xdr:cNvPr id="2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B22EEA3-84DF-412F-9D5A-7ECEEA3599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69C4F62-41C3-4735-A0B3-4B2AA826EB3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028240-F05B-4055-BF0A-F307057530F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CE4C086-9AFC-4CD2-9092-171E5646D05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1215DB-27D4-4B51-A88D-ACF4E4A597F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DBF0257-47D2-493A-8760-ED625D9DA95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29C6D3-CC0E-432E-8230-CDE7F001A18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518D45-C326-4A69-AA31-76F72F59475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42F187-02A0-4CF9-8738-73D29744D4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6F0A44-0139-4635-B5F9-2EC269AEB7E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3ADF12-F08D-4855-B6DB-3B2658B218D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3D2778-B96B-40EC-A37B-BA3608CA946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40E01B-8760-418B-BFE7-3FD3F404217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628E09C-6AC5-499E-A396-4BF24775810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51F5032-BE90-4B3E-A37A-968DAC1912E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540F3A-32D7-4CF7-AFB4-7B66D6F61B1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2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FC5653-9946-48AC-8293-F7AFA8A3191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3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49463B6-DE78-4781-A21F-6A86C97A7F0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4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F3071C-1F85-4FA8-961F-2EE5876F5FC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4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7576D0-4699-4BE4-BF3C-50AAB04A928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13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51F375-2B60-408D-B87E-BE637D2831E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13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2F0DB8-9F27-4AC4-8414-98843362DBB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13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972BB55-0FB6-46B9-86B9-4933C79146F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13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017C4E-7F89-40C1-BB5F-DE5BC4A8152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13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9732332-C35C-4C74-BFA4-72006DB3728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13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316C7A-327C-4D58-BD5A-15BAFE4DB26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13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1EF013C-8B06-4EC7-B458-2FB816DF60E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13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398465-9D53-48F8-91CD-54CFF7C0203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514</xdr:row>
      <xdr:rowOff>0</xdr:rowOff>
    </xdr:from>
    <xdr:ext cx="304800" cy="311150"/>
    <xdr:sp macro="" textlink="">
      <xdr:nvSpPr>
        <xdr:cNvPr id="13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0D6AD1-2063-4CC6-B430-11897B37148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82E6EB-81D3-43D3-A48B-F46F4BC2621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CFA577F-AF37-4CD4-876D-BE8FDB4CFBA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F2F3A5F-31FB-491D-AF85-772281F40D6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2CBDE52-4CB8-4DE5-A88D-8C34230DE78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2C8EEA-F5AD-4A42-823A-D710CCED190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E8BF11-DD20-4525-B7AF-F189CCBC419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B3F6E7-694E-4641-87F2-72EEC2D9D44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816874-8C22-4F3D-81FE-77820B3122D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900D14-16E7-4534-894D-5EB49695F09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C0D62B7-0AAD-49EE-AC77-A2124D57AA7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A0D30B-146A-44B2-A8B5-D52A4CB6A67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C0A86B-50CA-4913-AD69-D43FBC114CE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2E8138-2922-4B4F-82B9-2DA1F12A5A2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F63AE8-50F2-4FB6-94F1-FE91D7FECE0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AAB605-40C7-4448-BC5A-8F0D6B0B2EE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08AB0CA-8B79-4C38-A3DB-D216F2CF9D9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55F26A-F706-4BF6-A45B-F640815860A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AC60A5-552B-4630-B437-60366673E17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4E28A3-8189-4A0A-8D17-8C8DE9DD2D7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A3B3B1-B20D-4EFE-AB7B-8EAE2EFD28D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C0EADB9-0541-472C-98F0-BDF2EC26123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632901-A445-4D95-818B-CE941507874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004918-6D37-4C72-AD61-280EB4D9264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324C22-D043-43BE-ACFD-35D9845C79E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30D539E-EDE5-4414-850B-268A1268A61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A16193-E47C-4192-B628-EDA97063BE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5CB54D-1491-4694-9451-5A14142DEF8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515</xdr:row>
      <xdr:rowOff>0</xdr:rowOff>
    </xdr:from>
    <xdr:ext cx="304800" cy="311150"/>
    <xdr:sp macro="" textlink="">
      <xdr:nvSpPr>
        <xdr:cNvPr id="13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907ACC-94B3-45D1-B085-9D7CE27B92C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16E8765-DB84-4B95-A561-6DC076BBC2C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12C2009-1432-4163-8DB0-B033A40AEF9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273292-F040-4665-B258-956EBB08FC2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3ECBAFC-B050-46BE-8332-37024EB4B75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832E47-FFDC-4799-B54D-D8A78C8486F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92FB55C-694F-442B-B77A-390E08FA0B6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544E74E-A6B5-4FB0-8581-E0D7428A57B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6CC24BD-98CE-417C-9F84-A93A43FEA15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51BBF8-2855-4109-97B2-B9E6F633FA7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896C18-9FF4-43C7-9AF4-42A6CE64A78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21128C2-DAAC-433B-8A83-DA5FDB07BE0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8E84BB-2663-4DA1-A5C6-91460DE8CC1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7139E6A-4539-4D85-8D8A-19F0641E625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13EAFA-41AE-486E-86E7-0BB5504D7EB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498C222-83DB-452B-87D6-EA4D3B1451B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313863-A12F-49D6-BDF8-2C24FD454E0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DCCDA2F-E526-4B90-8EAE-A48B497FE24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2B4A69E-FD5A-41AF-9006-6F33004823F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3B0422-2D24-4736-BF5C-3043C159650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748A97-E798-49E9-BC2E-FFEB2806F8F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8CD1881-463C-4F54-A0E3-6863E2F0EE1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D59B36-1E1D-4514-9A5C-F63737687FC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1E5E65-097B-4C7C-8DB6-E150EAE268C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3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365AAD-00F4-4F03-A816-5A2AE971480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4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9398DB-1806-45E0-A7C9-B9814A345F7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4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7897A12-7058-42C8-983D-BEF6097108E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4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8A3DFA5-AC14-4A19-B471-15EE8615D30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516</xdr:row>
      <xdr:rowOff>0</xdr:rowOff>
    </xdr:from>
    <xdr:ext cx="304800" cy="311150"/>
    <xdr:sp macro="" textlink="">
      <xdr:nvSpPr>
        <xdr:cNvPr id="14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3CD2B5C-4FE7-4BAD-AD8F-0B0004E76BB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9E45C03-4DB7-4808-99C9-99C44B41EF0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F474F7-289F-4D61-BC85-02C63BE0187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D468DE-BF2F-49C6-9B68-36F515B1D68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226E00F-3293-42CF-9B0B-CE8E43D8A09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AA1254-7FF7-42BC-9ED4-16458BC0C76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B70E1C-11BD-4B85-BB2C-C801C0E29AC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45F0799-44E6-4F9A-8BBE-CE98A8AF16C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ACABE2-FF87-415C-B12C-F005D510EFB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1CD7368-6BFD-4C09-9F92-5849E4982E4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824860-4791-4EE6-B514-C581DF47820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2F1955-7883-4760-B6D0-03888D531A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A2A2CA-2FA4-4A61-A07C-855C1AB6D9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06C161D-DF7B-4AEA-A465-EE92EC15975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FE1D56-3694-44C0-BBF0-AB11318A384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087BEC-CDFE-439D-87D7-97377AF1734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74202E4-0DE1-4825-B0F6-09779E23DAA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DCEEA5B-E9A2-4D90-ABAA-CFE655F2EDC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EFF9F13-90E1-4E27-844A-AC6A34355A6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F3F494D-8C15-461C-96A7-99B28A2A176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E961C90-90D2-4F5C-B6BB-5231228ADC2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0B8004-71AE-40D6-9B52-1CF1727156F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4764041-D6AB-4E23-87C5-60C8F241AF5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99EF6F-0577-4B2D-AC6B-E9A8C35F648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EADDD9-BC0C-4EDF-935B-153B2738C9F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4A708E-C769-4452-9EF3-42B50F7CF75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9975DC-365B-453C-BC0B-C4418ED066E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3BA8CAC-1E09-4ED0-9438-BA9D429497F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517</xdr:row>
      <xdr:rowOff>0</xdr:rowOff>
    </xdr:from>
    <xdr:ext cx="304800" cy="311150"/>
    <xdr:sp macro="" textlink="">
      <xdr:nvSpPr>
        <xdr:cNvPr id="14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B81C011-56E6-4592-AADD-C886953AF22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D24C88-EB6C-408A-9952-E6499E9FA44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F7ABA1-2865-412A-993D-65699FE9AC7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14880F1-8B24-4F47-857A-90599C8656F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ECED7C-392B-4B9C-90C2-E02F8756F8C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4DAEE6C-5516-4A6C-A420-DAB429ACF3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761A56C-2946-4887-B990-3BCD4001E96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34965A-4AB5-479F-B77E-7230AA5E74B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EB2C1D4-8B91-4605-986D-5C3600065E5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C340345-3C62-4928-B4C8-E028AC8C9CC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53B74A-1BE4-4E6D-AFA6-219FFC31D13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54203A-C749-479A-8BB9-6DBDB84FE77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C957E3-6B7C-4EBD-B0DE-D77576BE82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3B99801-72ED-4117-8627-F1AAEE2964A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0641F9-7484-45AE-A915-D4173DEAE35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59DDD5-63E9-459F-9700-88E48061C8D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550D09-3AAB-4817-8B56-02324684B5F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A79F6C-D438-44C6-A042-A226CDFA6BF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9FB6D1-4508-4255-AE3F-E46C4668529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2E651F7-59C5-4C97-9ED0-35D7472ADC5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058569-9359-43E2-A122-E37431C6931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4D8DB4-1F0B-407C-8092-08CAD1B3418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2FEE98-303E-4374-B466-49DDA11D2AB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812D69B-4284-4338-9CA2-12E6FE782AF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A324056-0982-4847-9904-F009C81A8A8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19EEBB-182C-49C8-8E34-291F0565A98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6969B18-2DA1-4D47-9EB8-FA7CAF9FFA3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0E9536-7989-404F-9DF2-CE2009B0ACF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518</xdr:row>
      <xdr:rowOff>0</xdr:rowOff>
    </xdr:from>
    <xdr:ext cx="304800" cy="311150"/>
    <xdr:sp macro="" textlink="">
      <xdr:nvSpPr>
        <xdr:cNvPr id="14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1D6A58-9609-4B79-9759-E17A0878A3B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55B27B1-6E0F-4787-8E6A-7588393426F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61DBCE-7707-41AF-9228-5568A414C88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90862FE-E3EF-4C8E-B69F-899B7B62739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A35081E-EEE5-44E7-BE1F-8BD87E8CCAF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8F8F7D-0274-4319-B914-7B35468FA91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35F6FDC-A0FC-49DA-ADA3-E8119D8EFCA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EAAEBD2-411C-4F0F-8FE5-394B2701E8D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3EECF7D-C9BD-45A6-9457-BC0A61A8B26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A93E00-635E-457B-B6DE-8CB7AC193F7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5B9BE4-F130-42C4-9974-B8FB5943DD8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15D7BF4-BDCF-4050-9C71-FC18CA777B4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9B69AC1-9618-4826-9C61-990B43C57CF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9642FC6-D1B5-4E09-9286-3C8E4DD948C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57EEEB0-95D0-4655-AE5E-91AE3C58057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90475D-3D73-4BCF-B337-E66D276B97D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5BE927-1218-4518-B720-22BCB375E48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9C6FE65-D48B-40BA-AEF1-86A6E1DBDAC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AB6A793-FF50-4764-A488-26149CFBD0F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12D3506-A4D4-44B2-958D-00002D735B8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4E76E8-7C1D-4F3B-AAEA-6F4350FB397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6703940-0D46-476D-8E54-F8B32D367F2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199C53-C144-4C11-BC1B-5FEAB29F034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2E460EF-52B3-4F83-9E34-A6E55486CD7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C18B661-6DCC-4D5C-8350-468105A2DD1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B8B48F-C7A0-45FE-A374-55A2001460F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285C618-9754-4DFC-B5C7-9AF0EE90406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74BA09-8D74-44BB-812C-D4695F6F853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519</xdr:row>
      <xdr:rowOff>0</xdr:rowOff>
    </xdr:from>
    <xdr:ext cx="304800" cy="311150"/>
    <xdr:sp macro="" textlink="">
      <xdr:nvSpPr>
        <xdr:cNvPr id="14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2A5B63F-C23B-468E-B65A-0BE1199CA1D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77D1A9-9053-4E39-8DE6-E34A1E5BF9E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404E10B-6BAC-4612-9D58-EFB3F851770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32DC381-736A-4A5A-80F5-B4F41C6C524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E742BA-78F8-4278-B18C-FEA48BB209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4A8776-AA08-4F7E-9C2E-9636E522B88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1C57B35-D50E-42C3-9C53-36E29557125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1AF483-5208-40A0-A2B9-7E5180F9643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5F5F92C-9B61-497B-9AF2-CC6F22E78A7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032E7DB-127F-499A-9643-1D240AED1AA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F92DC34-27A3-4C46-B984-4C37BDDEC22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40BAFE8-AF1E-4EAC-9E5F-CC8C6FEC7B3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4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D6063F-FFFB-406B-BE06-4709C494F19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35D56EC-7D04-41FE-B098-540048DEC3D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F128AC2-DECF-49F3-A64F-310355FA14D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2FAC27F-AC72-46C5-B9D6-A6E17920871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70E84E4-941C-45A4-B3BB-0AF1A922DD4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8FCCA0B-300B-49B1-9E89-228E2451F65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0E44C38-A72A-4A1C-9CDE-D0863E207E5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AF52446-152C-4E4C-8522-1A56AB82DE2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913A338-981C-413E-818C-E5B91857164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64E586-0982-40CD-98E6-CDA71486433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1F13C76-B69D-4DA6-97C7-115FE56580E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A0B851D-ECD7-43DE-BD8D-1DF1CF10059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2871F15-5326-42A5-A83E-98CFB6AF155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635A2AC-AD60-406E-B7E6-1CA8C49B7A1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AE1FF5-1872-429A-8384-DEBA92989CA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632CD5-123B-4E97-8163-0B3ECFFBF0A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520</xdr:row>
      <xdr:rowOff>0</xdr:rowOff>
    </xdr:from>
    <xdr:ext cx="304800" cy="311150"/>
    <xdr:sp macro="" textlink="">
      <xdr:nvSpPr>
        <xdr:cNvPr id="15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C39FE82-7211-4C81-AD4B-C11F52079CE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F3935CF-2731-483C-87A6-CA6BFAAF9DD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DD88F02-5E1B-48AF-BC49-045569815D4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BF0385-0933-483A-B7C1-66B36238D3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FEE9FA7-201F-425C-9F07-E43C67C3BE6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D73091-0319-43DF-96B9-7ECE6C5D67B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026CEE6-2F0B-4A0F-9355-CD882CC8A10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9A057A2-2880-4502-892B-7C4BBEF0197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D058DF5-38E4-4C9E-BF8A-41A31D13FCB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0A7FF2-2E0B-40DD-9D13-4C6CAE23C8A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BA01AE2-42FA-4317-BA94-60C10F3A6CC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6170998-7A44-4185-BC3E-34533AEAE16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9D7F41-A5F1-4EC3-BAEE-A3A95246DCB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76C7A31-2791-4060-A5BE-1D81BE4743F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723BE8D-8ADD-4ED1-ACFE-624006D8242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A0A35B5-F406-4AF6-AE9C-338DFFD8F00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6D50BD-D268-4225-B23F-D6434E673D6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F54B59B-E2D4-4B5F-918C-9E5C74F359B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C5EF201-8390-4DD8-8F57-CAA65C3C028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3AB2E5-7889-48E9-A63C-DF396397B0F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CE09B54-9F05-44E2-B447-7A2C79159D7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F441AD5-A126-4120-86AC-7D5DC3497B9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3A7B540-3970-4F1F-987C-0E7C6DB9F8B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ECDFF5-1234-41E2-BA93-0131FB7114D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39F2DD4-7D63-4E71-AA5D-77A8D550B74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D25CBA0-5470-4609-9CFB-597573218BC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D334CCF-27C5-47AF-A777-D79B35E7FD6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D1D2344-A055-4E99-BF51-BA7F522F5B7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521</xdr:row>
      <xdr:rowOff>0</xdr:rowOff>
    </xdr:from>
    <xdr:ext cx="304800" cy="311150"/>
    <xdr:sp macro="" textlink="">
      <xdr:nvSpPr>
        <xdr:cNvPr id="15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27A97FC-CD9C-4ED6-98FD-FF85AF11945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B0F018B-921C-4163-8733-ABD5713B71C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4598A35-D542-4142-AEEC-B99735165E1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E938353-C7A3-466F-BCBD-73C176D9870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967EDD-4204-435B-AD3E-AE99E8E99A9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59C023-4C83-4753-B91B-D2C724AA53E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C63FDA-C0E8-42DA-B1B7-B5621299FBD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B8A7D3F-E7F8-46B3-9AE9-044916A4B49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24827FD-A423-4DD0-81BC-95E02C9B1BA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0ED6810-2B55-4833-97C9-81E269BAF80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252E14-65CE-4CED-A31F-2C2878B5249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B3D446C-31D5-4EF8-A783-04EE1004564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AD66248-1BDB-405F-AF8C-C0F24FE39C8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5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D8CCAD1-3382-4C06-A647-33193974FE3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5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E8C88C-E6EB-451E-9613-F2100F8ABD9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5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C354F96-B956-4003-99B5-E8BF011412E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5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083037-915F-41DD-A3FE-F149F1792E1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6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8A92E01-663A-46A5-B73A-10BFF674379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6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06C7B6C-98F0-4170-A40E-6520D56D6BE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6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59A2D49-91AA-46CD-BE89-B7531A754AA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6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44251E0-45E0-4969-A2DF-07C5184FD9B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6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6A5C4EB-60A7-4F0C-9966-69D64E1F116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6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96091E-E864-4907-BD88-C9459FDA179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6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A36B974-7278-4A8A-9F9D-074CBA97D7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6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402A1C2-E777-465A-A0B4-ECEC3CDAEE4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6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C2A2CF1-B603-487E-9145-69532597D8A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6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DD9F143-C23D-4F71-91FE-4FC1D5EFDC5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7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4D82779-80D5-4EFB-BE27-F80B1A61622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522</xdr:row>
      <xdr:rowOff>0</xdr:rowOff>
    </xdr:from>
    <xdr:ext cx="304800" cy="311150"/>
    <xdr:sp macro="" textlink="">
      <xdr:nvSpPr>
        <xdr:cNvPr id="157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02F40CC-CF1C-4953-BFED-92623A97709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7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C43A468-0BF0-4AA0-A5C0-AAA38494F9E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7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6DA9F05-504C-45AE-AD92-BD14814C4DD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7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605F6DC-77C5-4A28-8613-1C3DFED269D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7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169CBF-2D01-4A12-BB85-FCFEB5FAAD8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7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F11F62-85DD-486F-A1E9-42C18F61B3D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7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7F1A3AF-FED1-414C-828F-DF5CE58C013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7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AA5DFE-176E-4D79-ADED-71E0ADB1843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7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EBD4A7-085A-48F9-B896-C985E477AEC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8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685C086-0FE4-4EA8-B53C-F6A6A49E831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8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E51AE07-278F-4A2A-9E2E-554E842DA12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8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D4D8B4B-CB32-467B-A9ED-69991E1A2EA1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8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7DF7CE9-AF32-4577-AF81-571AD959E58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8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F576877-823A-459E-920C-78CD45F9FB7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8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05B8E44-D36B-4493-B902-D66C2FAC441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8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5E9617D-72B0-4FDF-97C6-C68C57C7BF2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8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3B51092-ADE6-4578-B0FC-F80494F4591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8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B69203-420D-486D-BAF5-744B656E02A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8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1470B31-5743-4124-97C9-3E1D1C01BF3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9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B22E2DC-A1B4-4FB4-AE61-8A567543EED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9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DFBD923-B06B-4FAB-ACDA-A1DA12CCE57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9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2C85EA5-7870-4964-8D26-2C37AA33553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9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82CF1F9-91AE-49C0-B68A-D9899BC4056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9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F56500C-8893-489C-96A8-AF8CBA19F30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9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7CD555D-7E29-401B-99FA-0F22802B0B6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9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5F31DD1-FBAA-4F32-B3AF-8D869FDB855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9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04EBE23-089C-4751-911E-CF22B869296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9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3DA8C58-D932-4DE8-9E05-351FC299415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523</xdr:row>
      <xdr:rowOff>0</xdr:rowOff>
    </xdr:from>
    <xdr:ext cx="304800" cy="311150"/>
    <xdr:sp macro="" textlink="">
      <xdr:nvSpPr>
        <xdr:cNvPr id="159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69A320B-0F1A-46E3-9CA9-0C746CA08F0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0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3157F60-D48F-4E40-B827-DA4737AF2BA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0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26B6C13-BE35-4B3C-8C4B-A642D62E202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0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C0FB4FB-DEF2-44EB-ADDF-0DF16CAE964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0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A12B098-3E17-45BA-9A6E-9A7377E4D6F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0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E1E6F73-5485-4856-B61D-63EAC62C6AC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0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7B5265A-6979-41AF-8262-DBC53D3E372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0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8CC0C9-32E1-404D-85A1-61BCBA79782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0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CA5068E5-5935-48C0-80D7-9B65A3CA33C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0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60CB83D-3839-4699-B0DA-FE4D49CB8CD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0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8111E51-F8F7-4111-9510-63E69DB2327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1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F9A4F92-A6AF-4FE0-89C6-7F621A4156A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1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195520A-689F-4FAF-80C6-1806ED8417F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1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8147569-2D3F-4411-9DA6-8AC5811B3D8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1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BFE3569-A04F-43E0-AA5D-92A7655137A6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1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11DDA40-632E-4643-96DC-2067B01C87C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1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932C19C-8DC0-4843-A797-CF081A3ECF9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1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BCA43B3-5437-4013-8648-60585BD835D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1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551E645-584C-40E2-9908-E1313984364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1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E1FDFCB-DCD9-4D09-A14A-BC09D7717D6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1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0E9D552-0E28-4C7E-9C0F-F3BC8023B7E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2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07A93A-85AB-4CA9-86CD-FCF89D4850A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2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DACC5C-B6BB-4BEF-BB29-5F11E214AFA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2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F4CE0A5-6FDA-423B-86D3-D2A37D2332D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2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8F4EB2-AF6B-49B0-B938-53E17FC9795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2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AE9A6F2-B18E-40D2-9A79-1463238486B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2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5D5793C-DFB8-4DA8-8FF1-1558487B4B1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2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B84E655B-7FE8-4B08-A037-C3E1453ABE1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524</xdr:row>
      <xdr:rowOff>0</xdr:rowOff>
    </xdr:from>
    <xdr:ext cx="304800" cy="311150"/>
    <xdr:sp macro="" textlink="">
      <xdr:nvSpPr>
        <xdr:cNvPr id="162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36094B2-FA24-4845-9958-F73B7D751A5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2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A103AA8-23D2-4066-B5E1-BFF13F7AAC8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2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0511BCC-F697-4BD4-B0FE-67E17BE0932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3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7E4CADA-A508-4B6F-AB3E-8AB7D6C96F3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3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02A2B7-7532-4B5B-B043-E11F5E23514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3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EB8FAC2-3185-48F2-9CE4-9CE88962F6DC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3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1A851A6-F9AC-4028-A27A-00E1FCF4198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3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AF9B09-4E0B-4685-9404-43ED2C7A0A3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3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CCB3F34-B8B3-4E8A-A0BC-3F398DB9664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3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D5370D6-16B5-4E5F-B6FC-EBC0E5A4C41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3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D42BC54-FC1B-4C1C-A781-9A711F21856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3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F80F278-A38E-45A7-AD6C-9A6D856562C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3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9DDA5FD5-CD24-4974-8CC9-2E9E658B4D4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4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775CC4DF-1DFC-4E03-A588-BC90FA3EF488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4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E77F3C40-C22F-49BC-B1B6-327B9612CAF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4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DAE06366-F287-4668-9FC7-11767F613AB7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4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D54EFF-DF14-4CC6-A546-0549980F32D0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4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62D8A178-2DF8-4D21-8ABF-068C20B6D8C2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4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346B1A05-FBC2-4325-838B-0E98E0D1589B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46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05F83C11-7199-4AD5-A227-F1D5FAE4669E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47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44F0F983-C872-4EA9-B15B-50B74A3D1755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48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C75728A-99B6-4F7B-91E8-AE2102C7172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49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156C249B-A5F7-4059-9579-AF0621A41B13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50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09FA031-5A5C-4C5C-A310-21350CDD724A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51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2420918A-DEF2-4362-909C-EDBC03AFF829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52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AC6F1538-A1DA-4E09-A104-6D879AC68744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53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FE70D7D2-4E6A-49C2-BA75-02F5117FE88F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54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8D299194-09AE-4910-AE85-C2BF9066550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525</xdr:row>
      <xdr:rowOff>0</xdr:rowOff>
    </xdr:from>
    <xdr:ext cx="304800" cy="311150"/>
    <xdr:sp macro="" textlink="">
      <xdr:nvSpPr>
        <xdr:cNvPr id="1655" name="AutoShape 4" descr="data:image/png;base64,iVBORw0KGgoAAAANSUhEUgAAANIAAADwCAMAAABCI8pNAAAAhFBMVEX///8AAAD6+vpsbGzl5eX39/fb29vAwMBjY2Po6OhfX1/R0dHv7+/y8vJbW1vW1tasrKy6uro6OjqLi4uUlJR2dnYpKSlpaWmioqKzs7MfHx9ERERWVlavr68/Pz/f399OTk4SEhKBgYEzMzMVFRUsLCyOjo6kpKR9fX1zc3OZmZnHx8eVACmwAAAGvElEQVR4nN2de3faPAzGIwqFrtAL0K6FDkgLa7d9/+/3kpRLLpKSYL9Hfvz7uztHz6TItiSbJImM0b21BZ5ZU2yKXmJT1HuPTVGf6NbaBr/MtzS0tsEr4xnRu7URXhkT0R9rI7wyi03R+H2v6MraCp8M072in9ZW+GS+F0Qjays8MnmKTdF4S5FF3WcmKKbMMLnKFUWUvfvPsSl6yAXRxtoObwy+PyOia2tLfNH7iE3RwzY6RQdBtLa2xBer2BRdT4+K+tameOLxKIhurE3xxCw6RaegoydrU/wwPCUG+rK2xQ9Dik3R01lRJOWtTWyKhrvoFFGBibU1PvgsKopi0/BWVBTFEruJTdFtURCNrc3xQFlRDB2kl5KiGNL3XXSKfpQUzazNced2WVL029oed8qJgcjaHncqilL8BekxOkWjsqIFvqJyqiP6a22QM28VRXNrg1y5jk9RRRB9WFvkyn1V0Rb9FBufouqWgWhgbZIjdUUv1iY5MoxO0VVN0ae1SY7UFT1bm+TIz7oi8NQwqilCL3BVN6p7HqxtcuMuOkVM1P2wtsmNemagac/aKCcYRSm2ovp6RPTL2ignOEWv1kY5wSlaWhvlBKdoam2UE0xmAK+rsoqgm0jMCguuiNkFEa2srXLhhVMEnexqtaCcf9ZmOcArQv6Q6rWgDORbO7wi5DWWV4T8Id3wipA3q+wSC/0hMaWTPam1WQ6wmwZCfgVgxisCLggJyQ64ICQoAj4j8dsg6IHVJa8I+NrlhlcE/CEJioCvi30KinC7l/VO7Dd31oZdzFpQlOJmO+lDwt0ICekbeGT1jxR2sPM0j4Ii3DerREW4o3ZTQdECNux2giLcsPslKYKdwhUVwU549iRFsGW7wbOkCPami1A92Ycd6mgD20TCDjtREeqVsclCUgTbv5yLTkLtjUlFO9ywG28lRbBhV73hgh92cv5GfSfkRsx2sKPFoiB6tDbtQsSNEO2sTbuQB1ER6rlvLCtC7VKwg3Y5qF1m8SALO9zQlxWhvhsrhx1qB1MJO9A34JSwQ22cK2EHuhN6jS43aGEHmhv4wbQc0Hqx2HYhWljbdhnK3g51lutLVgT6gr402pABOoKykhWBzgkpYbfDLOprYQeaG6QmM8HeoFd2QiEc/HrdA0VuYIaRG+66/7/KlcggfhYg29aMuuWof4qiACbuemlmyKqLponYZaYgDn6H3fSyw6icXFwNYtDznLpaf1DadjUAJw0KH3rbirzmpADGIku1g3aatNzw9j+b24JKyarVDMkHrybHPoHXUtem+d9oYRdAAq+/VtB4j3KcBu0kbqPWNGT2riiyr3PxDVY9R2i5IYCzrFApVdcnaaY9w36VFduRiiZ5BIVoa36WvUlF4+T1MmwnKQV6cQ8rTz4RLczPstqxlKa8edrBz95Jws3xI/wjiZqT7LdC3JNARbh8XHsKt4j5flUNuwyuyqPlBnMnaX2hA/VGq5bA7Z0kXTAqUnsPTbpnFYSTlL7Qmeqjo1p51dxJLcIuo9LH0/7U3ElN2e5IqSWuJXBzJ6kRVKR4VlBXWWsnqfWdMoX9a9BO4h8z4Tn9I/nuAdk7qXXYZZzcpDrJeMJB/e+uc8gQk1T5G2snaZsahsMgp+ok4xqKWjrgyINKvnxA9oeKroq+M4S2FbJOd0qDVeK1Yb9qXOjqlO2O9JUbImTeqbhEEX2pJz/r58bur+cdM96ehdbys053OWs1IXfF2kkHJh5FheCknIFSw+tESC84qHm5PUHNr0pPiHUigA5Zie65r0YwX9IRdQVFdFLirik4JyXdDrgQTkocNYXopEQdx8d0UmNPRsO6LCRy8ZobqpOSlvVxhkC/pJzL9nsBOym58GAYspMa+pUS1kY3oFwxlwhgFFyn++pkbXEjLXtoZwAuVXQNPWt729At9ACctA+9NDYnyU8Wwzop6RR65iNdLWm/4OLcxmxdsAyq0qUy0PpikE5qHXr2Y8YdaFXZC6Sw35KBdh3uCM6XlPO3WdEHSgY/0MJNKMvsicb5UMCr2k0ZAs5JjTUwyKfh9Axhf5vnElRJUMvsCc1NmE5SB4YwnaRlCFQnKYkcbC9UQHSTtWEOCBki+AqrgjATbm2WE+yZnb+lBQM3PgD6gt8RJkOAPhx5pp7Ix9YmubJOK4pQXwUvUM0QqG9oF6i8gQD7IzZFfsfmpKQ8Jg/7Iwhliok8guSQU0jk8Bn8wCQ6JxXessE9KFWZ7KJKDjmHC1yov5DCkt8gWVpb4ZX8MIj6W0MCWYYAPyjVWMXmpCxDxOakJAm7/fIf405HMQWkVWUAAAAASUVORK5CYII=">
          <a:extLst>
            <a:ext uri="{FF2B5EF4-FFF2-40B4-BE49-F238E27FC236}">
              <a16:creationId xmlns:a16="http://schemas.microsoft.com/office/drawing/2014/main" id="{52241B09-6EA1-4A3C-A179-38E5E22BACCD}"/>
            </a:ext>
          </a:extLst>
        </xdr:cNvPr>
        <xdr:cNvSpPr>
          <a:spLocks noChangeAspect="1" noChangeArrowheads="1"/>
        </xdr:cNvSpPr>
      </xdr:nvSpPr>
      <xdr:spPr bwMode="auto">
        <a:xfrm>
          <a:off x="20574000" y="18769584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13</v>
    <v>3</v>
  </rv>
  <rv s="0">
    <v>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error">
    <k n="errorType" t="i"/>
    <k n="subType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L&amp;T">
      <a:dk1>
        <a:sysClr val="windowText" lastClr="000000"/>
      </a:dk1>
      <a:lt1>
        <a:sysClr val="window" lastClr="FFFFFF"/>
      </a:lt1>
      <a:dk2>
        <a:srgbClr val="1188C6"/>
      </a:dk2>
      <a:lt2>
        <a:srgbClr val="E7E6E6"/>
      </a:lt2>
      <a:accent1>
        <a:srgbClr val="003F72"/>
      </a:accent1>
      <a:accent2>
        <a:srgbClr val="FBD520"/>
      </a:accent2>
      <a:accent3>
        <a:srgbClr val="BBBCBD"/>
      </a:accent3>
      <a:accent4>
        <a:srgbClr val="5D89CA"/>
      </a:accent4>
      <a:accent5>
        <a:srgbClr val="F0F2F6"/>
      </a:accent5>
      <a:accent6>
        <a:srgbClr val="E55C4C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80D8-2818-4808-A703-16070A76E56F}">
  <sheetPr>
    <pageSetUpPr fitToPage="1"/>
  </sheetPr>
  <dimension ref="A1:AI50"/>
  <sheetViews>
    <sheetView showGridLines="0" tabSelected="1" view="pageBreakPreview" zoomScale="70" zoomScaleNormal="75" zoomScaleSheetLayoutView="70" workbookViewId="0">
      <selection sqref="A1:A36"/>
    </sheetView>
  </sheetViews>
  <sheetFormatPr defaultColWidth="3.77734375" defaultRowHeight="14.4" customHeight="1" x14ac:dyDescent="0.3"/>
  <cols>
    <col min="1" max="1" width="6.5546875" style="3" customWidth="1"/>
    <col min="2" max="2" width="5.21875" style="3" customWidth="1"/>
    <col min="3" max="3" width="5" style="3" customWidth="1"/>
    <col min="4" max="28" width="5.21875" style="3" customWidth="1"/>
    <col min="29" max="29" width="7" style="3" customWidth="1"/>
    <col min="30" max="30" width="3.77734375" style="3" customWidth="1"/>
    <col min="31" max="31" width="7.77734375" style="3" customWidth="1"/>
    <col min="32" max="32" width="4.77734375" style="3" customWidth="1"/>
    <col min="33" max="33" width="3.77734375" style="3"/>
    <col min="34" max="34" width="23" style="3" bestFit="1" customWidth="1"/>
    <col min="35" max="35" width="100.77734375" style="3" customWidth="1"/>
    <col min="36" max="16384" width="3.77734375" style="3"/>
  </cols>
  <sheetData>
    <row r="1" spans="1:35" ht="25.05" customHeight="1" x14ac:dyDescent="0.3">
      <c r="A1" s="57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</row>
    <row r="2" spans="1:35" ht="10.050000000000001" customHeight="1" x14ac:dyDescent="0.3">
      <c r="A2" s="58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  <c r="AF2" s="7"/>
    </row>
    <row r="3" spans="1:35" ht="10.050000000000001" customHeight="1" x14ac:dyDescent="0.3">
      <c r="A3" s="58"/>
      <c r="B3" s="8"/>
      <c r="AE3" s="9"/>
      <c r="AF3" s="7"/>
    </row>
    <row r="4" spans="1:35" ht="10.050000000000001" customHeight="1" x14ac:dyDescent="0.3">
      <c r="A4" s="58"/>
      <c r="B4" s="8"/>
      <c r="AE4" s="9"/>
      <c r="AF4" s="7"/>
    </row>
    <row r="5" spans="1:35" ht="10.050000000000001" customHeight="1" thickBot="1" x14ac:dyDescent="0.35">
      <c r="A5" s="58"/>
      <c r="B5" s="8"/>
      <c r="AE5" s="9"/>
      <c r="AF5" s="7"/>
      <c r="AH5" s="38"/>
    </row>
    <row r="6" spans="1:35" ht="34.950000000000003" customHeight="1" x14ac:dyDescent="0.3">
      <c r="A6" s="58"/>
      <c r="B6" s="8"/>
      <c r="AE6" s="9"/>
      <c r="AF6" s="7"/>
      <c r="AH6" s="96" t="s">
        <v>47</v>
      </c>
      <c r="AI6" s="39"/>
    </row>
    <row r="7" spans="1:35" ht="34.950000000000003" customHeight="1" x14ac:dyDescent="0.3">
      <c r="A7" s="58"/>
      <c r="B7" s="8"/>
      <c r="AE7" s="9"/>
      <c r="AF7" s="7"/>
      <c r="AH7" s="97" t="s">
        <v>48</v>
      </c>
      <c r="AI7" s="40"/>
    </row>
    <row r="8" spans="1:35" ht="34.950000000000003" customHeight="1" x14ac:dyDescent="0.3">
      <c r="A8" s="58"/>
      <c r="B8" s="8"/>
      <c r="AE8" s="9"/>
      <c r="AF8" s="7"/>
      <c r="AH8" s="97" t="s">
        <v>49</v>
      </c>
      <c r="AI8" s="40"/>
    </row>
    <row r="9" spans="1:35" ht="34.950000000000003" customHeight="1" x14ac:dyDescent="0.3">
      <c r="A9" s="58"/>
      <c r="B9" s="8"/>
      <c r="AE9" s="9"/>
      <c r="AF9" s="7"/>
      <c r="AH9" s="97" t="s">
        <v>50</v>
      </c>
      <c r="AI9" s="40"/>
    </row>
    <row r="10" spans="1:35" ht="34.950000000000003" customHeight="1" x14ac:dyDescent="0.3">
      <c r="A10" s="58"/>
      <c r="B10" s="8"/>
      <c r="AE10" s="9"/>
      <c r="AF10" s="7"/>
      <c r="AH10" s="97" t="s">
        <v>51</v>
      </c>
      <c r="AI10" s="40"/>
    </row>
    <row r="11" spans="1:35" ht="34.950000000000003" customHeight="1" x14ac:dyDescent="0.3">
      <c r="A11" s="58"/>
      <c r="B11" s="8"/>
      <c r="AE11" s="9"/>
      <c r="AF11" s="7"/>
      <c r="AH11" s="97" t="s">
        <v>52</v>
      </c>
      <c r="AI11" s="40"/>
    </row>
    <row r="12" spans="1:35" ht="34.950000000000003" customHeight="1" x14ac:dyDescent="0.3">
      <c r="A12" s="58"/>
      <c r="B12" s="8"/>
      <c r="AE12" s="9"/>
      <c r="AF12" s="7"/>
      <c r="AH12" s="97" t="s">
        <v>53</v>
      </c>
      <c r="AI12" s="40"/>
    </row>
    <row r="13" spans="1:35" ht="34.950000000000003" customHeight="1" x14ac:dyDescent="0.3">
      <c r="A13" s="58"/>
      <c r="B13" s="8"/>
      <c r="AE13" s="9"/>
      <c r="AF13" s="7"/>
      <c r="AH13" s="97" t="s">
        <v>54</v>
      </c>
      <c r="AI13" s="40"/>
    </row>
    <row r="14" spans="1:35" ht="34.950000000000003" customHeight="1" x14ac:dyDescent="0.3">
      <c r="A14" s="58"/>
      <c r="B14" s="8"/>
      <c r="AE14" s="9"/>
      <c r="AF14" s="7"/>
      <c r="AH14" s="97" t="s">
        <v>55</v>
      </c>
      <c r="AI14" s="40"/>
    </row>
    <row r="15" spans="1:35" ht="34.950000000000003" customHeight="1" thickBot="1" x14ac:dyDescent="0.35">
      <c r="A15" s="58"/>
      <c r="B15" s="8"/>
      <c r="AE15" s="9"/>
      <c r="AF15" s="7"/>
      <c r="AH15" s="98" t="s">
        <v>56</v>
      </c>
      <c r="AI15" s="41"/>
    </row>
    <row r="16" spans="1:35" ht="10.050000000000001" customHeight="1" x14ac:dyDescent="0.3">
      <c r="A16" s="58"/>
      <c r="B16" s="8"/>
      <c r="AE16" s="9"/>
      <c r="AF16" s="7"/>
    </row>
    <row r="17" spans="1:35" ht="10.050000000000001" customHeight="1" x14ac:dyDescent="0.3">
      <c r="A17" s="58"/>
      <c r="B17" s="8"/>
      <c r="AE17" s="9"/>
      <c r="AF17" s="7"/>
    </row>
    <row r="18" spans="1:35" ht="10.050000000000001" customHeight="1" x14ac:dyDescent="0.3">
      <c r="A18" s="58"/>
      <c r="B18" s="8"/>
      <c r="AE18" s="9"/>
      <c r="AF18" s="7"/>
    </row>
    <row r="19" spans="1:35" ht="10.050000000000001" customHeight="1" x14ac:dyDescent="0.3">
      <c r="A19" s="58"/>
      <c r="B19" s="8"/>
      <c r="AE19" s="9"/>
      <c r="AF19" s="7"/>
    </row>
    <row r="20" spans="1:35" ht="10.050000000000001" customHeight="1" x14ac:dyDescent="0.3">
      <c r="A20" s="58"/>
      <c r="B20" s="8"/>
      <c r="AE20" s="9"/>
      <c r="AF20" s="7"/>
    </row>
    <row r="21" spans="1:35" ht="10.050000000000001" customHeight="1" x14ac:dyDescent="0.3">
      <c r="A21" s="58"/>
      <c r="B21" s="8"/>
      <c r="AE21" s="9"/>
      <c r="AF21" s="7"/>
    </row>
    <row r="22" spans="1:35" ht="10.050000000000001" customHeight="1" x14ac:dyDescent="0.3">
      <c r="A22" s="58"/>
      <c r="B22" s="8"/>
      <c r="AE22" s="9"/>
      <c r="AF22" s="7"/>
    </row>
    <row r="23" spans="1:35" ht="10.050000000000001" customHeight="1" x14ac:dyDescent="0.3">
      <c r="A23" s="58"/>
      <c r="B23" s="8"/>
      <c r="AE23" s="9"/>
      <c r="AF23" s="7"/>
    </row>
    <row r="24" spans="1:35" ht="10.050000000000001" customHeight="1" x14ac:dyDescent="0.3">
      <c r="A24" s="58"/>
      <c r="B24" s="8"/>
      <c r="AE24" s="9"/>
      <c r="AF24" s="7"/>
    </row>
    <row r="25" spans="1:35" ht="10.050000000000001" customHeight="1" x14ac:dyDescent="0.3">
      <c r="A25" s="58"/>
      <c r="B25" s="37"/>
      <c r="AE25" s="9"/>
      <c r="AF25" s="7"/>
      <c r="AI25" s="38"/>
    </row>
    <row r="26" spans="1:35" ht="10.050000000000001" customHeight="1" x14ac:dyDescent="0.3">
      <c r="A26" s="58"/>
      <c r="B26" s="8"/>
      <c r="AE26" s="9"/>
      <c r="AF26" s="7"/>
    </row>
    <row r="27" spans="1:35" ht="10.050000000000001" customHeight="1" x14ac:dyDescent="0.3">
      <c r="A27" s="58"/>
      <c r="B27" s="8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1"/>
      <c r="AF27" s="7"/>
    </row>
    <row r="28" spans="1:35" ht="25.05" customHeight="1" x14ac:dyDescent="0.3">
      <c r="A28" s="58"/>
      <c r="B28" s="59" t="e">
        <f ca="1">H39+0*NOW()</f>
        <v>#VALUE!</v>
      </c>
      <c r="C28" s="59"/>
      <c r="D28" s="59"/>
      <c r="E28" s="59"/>
      <c r="F28" s="60" t="str">
        <f ca="1">UPPER(AE43)&amp;T(NOW())</f>
        <v/>
      </c>
      <c r="G28" s="60"/>
      <c r="H28" s="60"/>
      <c r="I28" s="60" t="s">
        <v>16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82"/>
      <c r="AA28" s="83"/>
      <c r="AB28" s="82"/>
      <c r="AC28" s="83"/>
      <c r="AD28" s="82"/>
      <c r="AE28" s="83"/>
      <c r="AF28" s="7"/>
    </row>
    <row r="29" spans="1:35" ht="20.100000000000001" customHeight="1" x14ac:dyDescent="0.3">
      <c r="A29" s="58"/>
      <c r="B29" s="59"/>
      <c r="C29" s="59"/>
      <c r="D29" s="59"/>
      <c r="E29" s="59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84" t="str">
        <f ca="1">AI7&amp;T(NOW())</f>
        <v/>
      </c>
      <c r="AA29" s="60"/>
      <c r="AB29" s="84" t="str">
        <f ca="1">AI8&amp;T(NOW())</f>
        <v/>
      </c>
      <c r="AC29" s="60"/>
      <c r="AD29" s="84" t="str">
        <f ca="1">AI9&amp;T(NOW())</f>
        <v/>
      </c>
      <c r="AE29" s="60"/>
      <c r="AF29" s="7"/>
    </row>
    <row r="30" spans="1:35" ht="26.25" customHeight="1" x14ac:dyDescent="0.3">
      <c r="A30" s="58"/>
      <c r="B30" s="61" t="s">
        <v>17</v>
      </c>
      <c r="C30" s="61"/>
      <c r="D30" s="61"/>
      <c r="E30" s="61"/>
      <c r="F30" s="61" t="s">
        <v>18</v>
      </c>
      <c r="G30" s="61"/>
      <c r="H30" s="61"/>
      <c r="I30" s="61" t="s">
        <v>19</v>
      </c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81" t="s">
        <v>20</v>
      </c>
      <c r="AA30" s="81"/>
      <c r="AB30" s="81" t="s">
        <v>21</v>
      </c>
      <c r="AC30" s="81"/>
      <c r="AD30" s="81" t="s">
        <v>22</v>
      </c>
      <c r="AE30" s="81"/>
      <c r="AF30" s="7"/>
    </row>
    <row r="31" spans="1:35" ht="24" customHeight="1" x14ac:dyDescent="0.3">
      <c r="A31" s="58"/>
      <c r="B31" s="62" t="e" vm="1">
        <v>#VALUE!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4"/>
      <c r="AF31" s="7"/>
    </row>
    <row r="32" spans="1:35" ht="49.5" customHeight="1" x14ac:dyDescent="0.3">
      <c r="A32" s="58"/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7"/>
      <c r="AF32" s="7"/>
    </row>
    <row r="33" spans="1:32" ht="55.95" customHeight="1" x14ac:dyDescent="0.3">
      <c r="A33" s="58"/>
      <c r="B33" s="68" t="s">
        <v>41</v>
      </c>
      <c r="C33" s="68"/>
      <c r="D33" s="68"/>
      <c r="E33" s="68"/>
      <c r="F33" s="69" t="str">
        <f ca="1">UPPER(AI12)&amp;T(NOW())</f>
        <v/>
      </c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7"/>
    </row>
    <row r="34" spans="1:32" ht="55.95" customHeight="1" x14ac:dyDescent="0.3">
      <c r="A34" s="58"/>
      <c r="B34" s="68" t="s">
        <v>44</v>
      </c>
      <c r="C34" s="68"/>
      <c r="D34" s="68"/>
      <c r="E34" s="68"/>
      <c r="F34" s="69" t="str">
        <f ca="1">UPPER(AI13)&amp;T(NOW())</f>
        <v/>
      </c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7"/>
    </row>
    <row r="35" spans="1:32" ht="68.25" customHeight="1" x14ac:dyDescent="0.3">
      <c r="A35" s="58"/>
      <c r="B35" s="68" t="s">
        <v>42</v>
      </c>
      <c r="C35" s="68"/>
      <c r="D35" s="68"/>
      <c r="E35" s="68"/>
      <c r="F35" s="69" t="str">
        <f ca="1">UPPER(AI11)&amp;T(NOW())</f>
        <v/>
      </c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7"/>
    </row>
    <row r="36" spans="1:32" ht="56.1" customHeight="1" x14ac:dyDescent="0.3">
      <c r="A36" s="58"/>
      <c r="B36" s="68" t="s">
        <v>43</v>
      </c>
      <c r="C36" s="68"/>
      <c r="D36" s="68"/>
      <c r="E36" s="68"/>
      <c r="F36" s="60" t="s">
        <v>23</v>
      </c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7"/>
    </row>
    <row r="37" spans="1:32" ht="22.5" customHeight="1" x14ac:dyDescent="0.3">
      <c r="A37" s="13"/>
      <c r="B37" s="61" t="s">
        <v>24</v>
      </c>
      <c r="C37" s="61"/>
      <c r="D37" s="74" t="str">
        <f ca="1">LEFT(AI14,8)&amp;T(NOW())</f>
        <v/>
      </c>
      <c r="E37" s="74"/>
      <c r="F37" s="74"/>
      <c r="G37" s="74"/>
      <c r="H37" s="74"/>
      <c r="I37" s="74"/>
      <c r="J37" s="75" t="s">
        <v>25</v>
      </c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"/>
    </row>
    <row r="38" spans="1:32" ht="20.25" customHeight="1" x14ac:dyDescent="0.3">
      <c r="A38" s="13"/>
      <c r="B38" s="60"/>
      <c r="C38" s="60"/>
      <c r="D38" s="61" t="s">
        <v>26</v>
      </c>
      <c r="E38" s="61"/>
      <c r="F38" s="61" t="s">
        <v>27</v>
      </c>
      <c r="G38" s="61"/>
      <c r="H38" s="61" t="s">
        <v>17</v>
      </c>
      <c r="I38" s="61"/>
      <c r="J38" s="76" t="str">
        <f ca="1">"INSTRUMENT LIST FOR "&amp;UPPER(AI15)&amp;T(NOW())</f>
        <v xml:space="preserve">INSTRUMENT LIST FOR </v>
      </c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"/>
    </row>
    <row r="39" spans="1:32" ht="25.05" customHeight="1" x14ac:dyDescent="0.3">
      <c r="A39" s="13"/>
      <c r="B39" s="61" t="s">
        <v>28</v>
      </c>
      <c r="C39" s="61"/>
      <c r="D39" s="60" t="str">
        <f ca="1">Z29&amp;T(NOW())</f>
        <v/>
      </c>
      <c r="E39" s="60"/>
      <c r="F39" s="77"/>
      <c r="G39" s="78"/>
      <c r="H39" s="79" t="e">
        <f ca="1">TEXT(AI6,"DD-MM-YY")+0*NOW()</f>
        <v>#VALUE!</v>
      </c>
      <c r="I39" s="79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"/>
    </row>
    <row r="40" spans="1:32" ht="25.05" customHeight="1" x14ac:dyDescent="0.3">
      <c r="A40" s="13"/>
      <c r="B40" s="61" t="s">
        <v>29</v>
      </c>
      <c r="C40" s="61"/>
      <c r="D40" s="60" t="str">
        <f ca="1">AB29&amp;T(NOW())</f>
        <v/>
      </c>
      <c r="E40" s="60"/>
      <c r="F40" s="77"/>
      <c r="G40" s="78"/>
      <c r="H40" s="79" t="e">
        <f ca="1">H39+1+0*NOW()</f>
        <v>#VALUE!</v>
      </c>
      <c r="I40" s="79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"/>
    </row>
    <row r="41" spans="1:32" ht="25.05" customHeight="1" x14ac:dyDescent="0.3">
      <c r="A41" s="13"/>
      <c r="B41" s="61" t="s">
        <v>30</v>
      </c>
      <c r="C41" s="61"/>
      <c r="D41" s="60" t="str">
        <f ca="1">AD29&amp;T(NOW())</f>
        <v/>
      </c>
      <c r="E41" s="60"/>
      <c r="F41" s="77"/>
      <c r="G41" s="77"/>
      <c r="H41" s="79" t="e">
        <f ca="1">H40+0*NOW()</f>
        <v>#VALUE!</v>
      </c>
      <c r="I41" s="79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"/>
    </row>
    <row r="42" spans="1:32" ht="25.05" customHeight="1" x14ac:dyDescent="0.3">
      <c r="A42" s="13"/>
      <c r="B42" s="4"/>
      <c r="C42" s="5"/>
      <c r="D42" s="5"/>
      <c r="E42" s="5"/>
      <c r="F42" s="5"/>
      <c r="G42" s="5"/>
      <c r="H42" s="5"/>
      <c r="I42" s="5"/>
      <c r="AA42" s="9"/>
      <c r="AB42" s="72" t="s">
        <v>31</v>
      </c>
      <c r="AC42" s="73"/>
      <c r="AD42" s="72" t="s">
        <v>32</v>
      </c>
      <c r="AE42" s="73"/>
      <c r="AF42" s="7"/>
    </row>
    <row r="43" spans="1:32" ht="25.05" customHeight="1" x14ac:dyDescent="0.3">
      <c r="A43" s="13"/>
      <c r="B43" s="14" t="s">
        <v>33</v>
      </c>
      <c r="C43" s="15"/>
      <c r="D43" s="16" t="e" cm="1" vm="2">
        <f t="array" aca="1" ref="D43" ca="1">TRANSPOSE(MID(AI14,_xlfn.SEQUENCE(LEN(AI14)),1))&amp;T(NOW())</f>
        <v>#VALUE!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8"/>
      <c r="AC43" s="17" t="s">
        <v>34</v>
      </c>
      <c r="AD43" s="12"/>
      <c r="AE43" s="17" t="str">
        <f ca="1">AI10&amp;T(NOW())</f>
        <v/>
      </c>
      <c r="AF43" s="7"/>
    </row>
    <row r="44" spans="1:32" ht="25.05" customHeight="1" x14ac:dyDescent="0.3">
      <c r="A44" s="13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0"/>
      <c r="AB44" s="21"/>
      <c r="AC44" s="22"/>
      <c r="AD44" s="23"/>
      <c r="AE44" s="24"/>
      <c r="AF44" s="7"/>
    </row>
    <row r="45" spans="1:32" ht="15" customHeight="1" x14ac:dyDescent="0.3">
      <c r="A45" s="1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6"/>
      <c r="AF45" s="7"/>
    </row>
    <row r="46" spans="1:32" ht="20.100000000000001" customHeight="1" x14ac:dyDescent="0.3">
      <c r="A46" s="13"/>
      <c r="B46" s="8"/>
      <c r="F46" s="4"/>
      <c r="G46" s="5"/>
      <c r="H46" s="5"/>
      <c r="I46" s="5"/>
      <c r="J46" s="5"/>
      <c r="K46" s="6"/>
      <c r="L46" s="5"/>
      <c r="M46" s="5"/>
      <c r="N46" s="5"/>
      <c r="O46" s="5"/>
      <c r="P46" s="6"/>
      <c r="Q46" s="4"/>
      <c r="R46" s="5"/>
      <c r="S46" s="5"/>
      <c r="T46" s="5"/>
      <c r="U46" s="6"/>
      <c r="V46" s="4"/>
      <c r="W46" s="5"/>
      <c r="X46" s="5"/>
      <c r="Y46" s="5"/>
      <c r="Z46" s="6"/>
      <c r="AA46" s="4"/>
      <c r="AB46" s="5"/>
      <c r="AC46" s="5"/>
      <c r="AD46" s="5"/>
      <c r="AE46" s="6"/>
      <c r="AF46" s="7"/>
    </row>
    <row r="47" spans="1:32" ht="16.05" customHeight="1" x14ac:dyDescent="0.3">
      <c r="A47" s="13"/>
      <c r="B47" s="14" t="s">
        <v>35</v>
      </c>
      <c r="C47" s="25"/>
      <c r="D47" s="25"/>
      <c r="E47" s="25"/>
      <c r="F47" s="8"/>
      <c r="G47" s="26"/>
      <c r="H47" s="27" t="s">
        <v>36</v>
      </c>
      <c r="I47" s="28"/>
      <c r="J47" s="28"/>
      <c r="K47" s="29"/>
      <c r="L47" s="28"/>
      <c r="M47" s="26"/>
      <c r="N47" s="27" t="s">
        <v>37</v>
      </c>
      <c r="P47" s="29"/>
      <c r="Q47" s="8"/>
      <c r="R47" s="26"/>
      <c r="S47" s="27" t="s">
        <v>38</v>
      </c>
      <c r="T47" s="28"/>
      <c r="U47" s="29"/>
      <c r="V47" s="30"/>
      <c r="W47" s="31" t="s">
        <v>57</v>
      </c>
      <c r="X47" s="27" t="s">
        <v>39</v>
      </c>
      <c r="Y47" s="28"/>
      <c r="Z47" s="29"/>
      <c r="AA47" s="8"/>
      <c r="AB47" s="26"/>
      <c r="AC47" s="27" t="s">
        <v>40</v>
      </c>
      <c r="AE47" s="9"/>
      <c r="AF47" s="7"/>
    </row>
    <row r="48" spans="1:32" ht="20.100000000000001" customHeight="1" x14ac:dyDescent="0.3">
      <c r="A48" s="13"/>
      <c r="B48" s="32"/>
      <c r="C48" s="25"/>
      <c r="D48" s="25"/>
      <c r="E48" s="25"/>
      <c r="F48" s="33"/>
      <c r="G48" s="34"/>
      <c r="H48" s="34"/>
      <c r="I48" s="34"/>
      <c r="J48" s="34"/>
      <c r="K48" s="35"/>
      <c r="L48" s="34"/>
      <c r="M48" s="34"/>
      <c r="N48" s="34"/>
      <c r="O48" s="34"/>
      <c r="P48" s="35"/>
      <c r="Q48" s="33"/>
      <c r="R48" s="34"/>
      <c r="S48" s="34"/>
      <c r="T48" s="34"/>
      <c r="U48" s="35"/>
      <c r="V48" s="33"/>
      <c r="W48" s="34"/>
      <c r="X48" s="34"/>
      <c r="Y48" s="34"/>
      <c r="Z48" s="35"/>
      <c r="AA48" s="33"/>
      <c r="AB48" s="34"/>
      <c r="AC48" s="34"/>
      <c r="AD48" s="34"/>
      <c r="AE48" s="20"/>
      <c r="AF48" s="7"/>
    </row>
    <row r="49" spans="1:32" ht="25.05" customHeight="1" x14ac:dyDescent="0.3">
      <c r="A49" s="13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/>
      <c r="AF49" s="7"/>
    </row>
    <row r="50" spans="1:32" ht="25.05" customHeight="1" thickBot="1" x14ac:dyDescent="0.35">
      <c r="A50" s="10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11"/>
    </row>
  </sheetData>
  <mergeCells count="53">
    <mergeCell ref="B27:E27"/>
    <mergeCell ref="F27:H27"/>
    <mergeCell ref="I27:Y27"/>
    <mergeCell ref="Z27:AA27"/>
    <mergeCell ref="B36:E36"/>
    <mergeCell ref="F36:AE36"/>
    <mergeCell ref="Z30:AA30"/>
    <mergeCell ref="AB30:AC30"/>
    <mergeCell ref="AD30:AE30"/>
    <mergeCell ref="Z28:AA28"/>
    <mergeCell ref="AD28:AE28"/>
    <mergeCell ref="Z29:AA29"/>
    <mergeCell ref="AB29:AC29"/>
    <mergeCell ref="AB28:AC28"/>
    <mergeCell ref="AD29:AE29"/>
    <mergeCell ref="F40:G40"/>
    <mergeCell ref="H40:I40"/>
    <mergeCell ref="B41:C41"/>
    <mergeCell ref="D41:E41"/>
    <mergeCell ref="F41:G41"/>
    <mergeCell ref="H41:I41"/>
    <mergeCell ref="AB42:AC42"/>
    <mergeCell ref="AD42:AE42"/>
    <mergeCell ref="B38:C38"/>
    <mergeCell ref="B37:C37"/>
    <mergeCell ref="D37:I37"/>
    <mergeCell ref="J37:AE37"/>
    <mergeCell ref="D38:E38"/>
    <mergeCell ref="F38:G38"/>
    <mergeCell ref="H38:I38"/>
    <mergeCell ref="J38:AE41"/>
    <mergeCell ref="B39:C39"/>
    <mergeCell ref="D39:E39"/>
    <mergeCell ref="F39:G39"/>
    <mergeCell ref="H39:I39"/>
    <mergeCell ref="B40:C40"/>
    <mergeCell ref="D40:E40"/>
    <mergeCell ref="A1:A36"/>
    <mergeCell ref="B28:E29"/>
    <mergeCell ref="F28:H29"/>
    <mergeCell ref="I28:Y29"/>
    <mergeCell ref="B30:E30"/>
    <mergeCell ref="F30:H30"/>
    <mergeCell ref="I30:Y30"/>
    <mergeCell ref="B31:AE32"/>
    <mergeCell ref="B33:E33"/>
    <mergeCell ref="F33:AE33"/>
    <mergeCell ref="B34:E34"/>
    <mergeCell ref="F34:AE34"/>
    <mergeCell ref="B35:E35"/>
    <mergeCell ref="F35:AE35"/>
    <mergeCell ref="AB27:AC27"/>
    <mergeCell ref="AD27:AE27"/>
  </mergeCells>
  <printOptions horizontalCentered="1"/>
  <pageMargins left="0.25" right="0.25" top="0.75" bottom="0.75" header="0.3" footer="0.3"/>
  <pageSetup paperSize="9" scale="58" fitToHeight="0" orientation="portrait" r:id="rId1"/>
  <headerFooter alignWithMargins="0">
    <oddFooter>&amp;L&amp;1#&amp;"Calibri"&amp;8&amp;K000000Sensitivity: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26"/>
  <sheetViews>
    <sheetView showGridLines="0" zoomScale="40" zoomScaleNormal="40" zoomScaleSheetLayoutView="50" zoomScalePageLayoutView="95" workbookViewId="0">
      <selection sqref="A1:C1"/>
    </sheetView>
  </sheetViews>
  <sheetFormatPr defaultColWidth="8.77734375" defaultRowHeight="34.950000000000003" customHeight="1" x14ac:dyDescent="0.45"/>
  <cols>
    <col min="1" max="1" width="12.88671875" style="55" bestFit="1" customWidth="1"/>
    <col min="2" max="2" width="43.44140625" style="55" customWidth="1"/>
    <col min="3" max="3" width="57.44140625" style="56" customWidth="1"/>
    <col min="4" max="4" width="139.88671875" style="55" customWidth="1"/>
    <col min="5" max="5" width="39.44140625" style="55" customWidth="1"/>
    <col min="6" max="7" width="40.77734375" style="55" customWidth="1"/>
    <col min="8" max="11" width="10.77734375" style="55" customWidth="1"/>
    <col min="12" max="12" width="14.21875" style="55" customWidth="1"/>
    <col min="13" max="13" width="26.77734375" style="55" customWidth="1"/>
    <col min="14" max="14" width="47.44140625" style="56" customWidth="1"/>
    <col min="15" max="16384" width="8.77734375" style="42"/>
  </cols>
  <sheetData>
    <row r="1" spans="1:14" ht="70.05" customHeight="1" x14ac:dyDescent="0.45">
      <c r="A1" s="88" t="e" vm="3">
        <v>#VALUE!</v>
      </c>
      <c r="B1" s="89"/>
      <c r="C1" s="90"/>
      <c r="D1" s="94" t="str">
        <f ca="1">"PROJECT: "&amp;Cover!AI11&amp;T(NOW())</f>
        <v xml:space="preserve">PROJECT: </v>
      </c>
      <c r="E1" s="95"/>
      <c r="F1" s="95"/>
      <c r="G1" s="95"/>
      <c r="H1" s="95"/>
      <c r="I1" s="95"/>
      <c r="J1" s="95"/>
      <c r="K1" s="95"/>
      <c r="L1" s="88" t="s">
        <v>0</v>
      </c>
      <c r="M1" s="89"/>
      <c r="N1" s="90"/>
    </row>
    <row r="2" spans="1:14" ht="49.95" customHeight="1" x14ac:dyDescent="0.45">
      <c r="A2" s="43" t="s">
        <v>15</v>
      </c>
      <c r="B2" s="91" t="str">
        <f ca="1">Cover!AI12&amp;T(NOW())</f>
        <v/>
      </c>
      <c r="C2" s="91"/>
      <c r="D2" s="95" t="str">
        <f ca="1">"DOCUMENT NAME: "&amp;_xlfn.SINGLE(Cover!J38)&amp;T(NOW())</f>
        <v xml:space="preserve">DOCUMENT NAME: INSTRUMENT LIST FOR </v>
      </c>
      <c r="E2" s="95"/>
      <c r="F2" s="95"/>
      <c r="G2" s="95"/>
      <c r="H2" s="95"/>
      <c r="I2" s="95"/>
      <c r="J2" s="95"/>
      <c r="K2" s="95"/>
      <c r="L2" s="88" t="str">
        <f ca="1">"DATE: "&amp;TEXT(Cover!AI6,"dd-mmm-yyyy")&amp;T(NOW())</f>
        <v>DATE: 00-Jan-1900</v>
      </c>
      <c r="M2" s="89"/>
      <c r="N2" s="90"/>
    </row>
    <row r="3" spans="1:14" ht="49.95" customHeight="1" x14ac:dyDescent="0.45">
      <c r="A3" s="92" t="str">
        <f ca="1">"CONSULTANT: "&amp;Cover!AI13&amp;T(NOW())</f>
        <v xml:space="preserve">CONSULTANT: </v>
      </c>
      <c r="B3" s="93"/>
      <c r="C3" s="93"/>
      <c r="D3" s="95" t="str">
        <f ca="1">"DOCUMENT NO: "&amp;Cover!AI14&amp;" REV "&amp;Cover!AI10&amp;T(NOW())</f>
        <v xml:space="preserve">DOCUMENT NO:  REV </v>
      </c>
      <c r="E3" s="95"/>
      <c r="F3" s="95"/>
      <c r="G3" s="95"/>
      <c r="H3" s="95"/>
      <c r="I3" s="95"/>
      <c r="J3" s="95"/>
      <c r="K3" s="95"/>
      <c r="L3" s="88" t="s">
        <v>58</v>
      </c>
      <c r="M3" s="89"/>
      <c r="N3" s="90"/>
    </row>
    <row r="4" spans="1:14" ht="30" customHeight="1" x14ac:dyDescent="0.45">
      <c r="A4" s="85" t="s">
        <v>14</v>
      </c>
      <c r="B4" s="85" t="s">
        <v>59</v>
      </c>
      <c r="C4" s="85" t="s">
        <v>13</v>
      </c>
      <c r="D4" s="85" t="s">
        <v>12</v>
      </c>
      <c r="E4" s="85" t="s">
        <v>4</v>
      </c>
      <c r="F4" s="85" t="s">
        <v>2</v>
      </c>
      <c r="G4" s="85" t="s">
        <v>3</v>
      </c>
      <c r="H4" s="86" t="s">
        <v>4</v>
      </c>
      <c r="I4" s="87"/>
      <c r="J4" s="87"/>
      <c r="K4" s="87"/>
      <c r="L4" s="87" t="s">
        <v>45</v>
      </c>
      <c r="M4" s="85" t="s">
        <v>11</v>
      </c>
      <c r="N4" s="85" t="s">
        <v>5</v>
      </c>
    </row>
    <row r="5" spans="1:14" ht="30" customHeight="1" x14ac:dyDescent="0.45">
      <c r="A5" s="85"/>
      <c r="B5" s="85"/>
      <c r="C5" s="85"/>
      <c r="D5" s="85" t="s">
        <v>1</v>
      </c>
      <c r="E5" s="85" t="s">
        <v>4</v>
      </c>
      <c r="F5" s="85" t="s">
        <v>6</v>
      </c>
      <c r="G5" s="85" t="s">
        <v>6</v>
      </c>
      <c r="H5" s="44" t="s">
        <v>7</v>
      </c>
      <c r="I5" s="44" t="s">
        <v>8</v>
      </c>
      <c r="J5" s="44" t="s">
        <v>9</v>
      </c>
      <c r="K5" s="44" t="s">
        <v>10</v>
      </c>
      <c r="L5" s="87"/>
      <c r="M5" s="85"/>
      <c r="N5" s="85"/>
    </row>
    <row r="6" spans="1:14" s="46" customFormat="1" ht="34.950000000000003" customHeight="1" x14ac:dyDescent="0.4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s="47" customFormat="1" ht="34.950000000000003" customHeight="1" x14ac:dyDescent="0.45">
      <c r="A7" s="51"/>
      <c r="B7" s="51"/>
      <c r="C7" s="51"/>
      <c r="D7" s="52"/>
      <c r="E7" s="45"/>
      <c r="F7" s="45"/>
      <c r="G7" s="45"/>
      <c r="H7" s="45"/>
      <c r="I7" s="45"/>
      <c r="J7" s="45"/>
      <c r="K7" s="45"/>
      <c r="L7" s="45"/>
      <c r="M7" s="45"/>
      <c r="N7" s="45"/>
    </row>
    <row r="8" spans="1:14" s="47" customFormat="1" ht="34.950000000000003" customHeight="1" x14ac:dyDescent="0.45">
      <c r="A8" s="51"/>
      <c r="B8" s="51"/>
      <c r="C8" s="45"/>
      <c r="D8" s="52"/>
      <c r="E8" s="45"/>
      <c r="F8" s="45"/>
      <c r="G8" s="45"/>
      <c r="H8" s="45"/>
      <c r="I8" s="45"/>
      <c r="J8" s="45"/>
      <c r="K8" s="45"/>
      <c r="L8" s="45"/>
      <c r="M8" s="45"/>
      <c r="N8" s="45"/>
    </row>
    <row r="9" spans="1:14" s="47" customFormat="1" ht="34.950000000000003" customHeight="1" x14ac:dyDescent="0.45">
      <c r="A9" s="51"/>
      <c r="B9" s="51"/>
      <c r="C9" s="45"/>
      <c r="D9" s="52"/>
      <c r="E9" s="45"/>
      <c r="F9" s="45"/>
      <c r="G9" s="45"/>
      <c r="H9" s="45"/>
      <c r="I9" s="45"/>
      <c r="J9" s="45"/>
      <c r="K9" s="45"/>
      <c r="L9" s="45"/>
      <c r="M9" s="45"/>
      <c r="N9" s="45"/>
    </row>
    <row r="10" spans="1:14" s="47" customFormat="1" ht="34.950000000000003" customHeight="1" x14ac:dyDescent="0.45">
      <c r="A10" s="51"/>
      <c r="B10" s="51"/>
      <c r="C10" s="45"/>
      <c r="D10" s="52"/>
      <c r="E10" s="45"/>
      <c r="F10" s="45"/>
      <c r="G10" s="45"/>
      <c r="H10" s="45"/>
      <c r="I10" s="45"/>
      <c r="J10" s="45"/>
      <c r="K10" s="45"/>
      <c r="L10" s="45"/>
      <c r="M10" s="45"/>
      <c r="N10" s="45"/>
    </row>
    <row r="11" spans="1:14" s="47" customFormat="1" ht="34.950000000000003" customHeight="1" x14ac:dyDescent="0.45">
      <c r="A11" s="51"/>
      <c r="B11" s="51"/>
      <c r="C11" s="45"/>
      <c r="D11" s="52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s="47" customFormat="1" ht="34.950000000000003" customHeight="1" x14ac:dyDescent="0.45">
      <c r="A12" s="51"/>
      <c r="B12" s="51"/>
      <c r="C12" s="45"/>
      <c r="D12" s="52"/>
      <c r="E12" s="45"/>
      <c r="F12" s="45"/>
      <c r="G12" s="45"/>
      <c r="H12" s="45"/>
      <c r="I12" s="45"/>
      <c r="J12" s="45"/>
      <c r="K12" s="45"/>
      <c r="L12" s="45"/>
      <c r="M12" s="45"/>
      <c r="N12" s="45"/>
    </row>
    <row r="13" spans="1:14" s="47" customFormat="1" ht="34.950000000000003" customHeight="1" x14ac:dyDescent="0.45">
      <c r="A13" s="51"/>
      <c r="B13" s="51"/>
      <c r="C13" s="45"/>
      <c r="D13" s="52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s="47" customFormat="1" ht="34.950000000000003" customHeight="1" x14ac:dyDescent="0.45">
      <c r="A14" s="51"/>
      <c r="B14" s="51"/>
      <c r="C14" s="45"/>
      <c r="D14" s="52"/>
      <c r="E14" s="45"/>
      <c r="F14" s="45"/>
      <c r="G14" s="45"/>
      <c r="H14" s="45"/>
      <c r="I14" s="45"/>
      <c r="J14" s="45"/>
      <c r="K14" s="45"/>
      <c r="L14" s="45"/>
      <c r="M14" s="45"/>
      <c r="N14" s="45"/>
    </row>
    <row r="15" spans="1:14" s="47" customFormat="1" ht="34.950000000000003" customHeight="1" x14ac:dyDescent="0.45">
      <c r="A15" s="51"/>
      <c r="B15" s="51"/>
      <c r="C15" s="45"/>
      <c r="D15" s="52"/>
      <c r="E15" s="45"/>
      <c r="F15" s="45"/>
      <c r="G15" s="45"/>
      <c r="H15" s="45"/>
      <c r="I15" s="45"/>
      <c r="J15" s="45"/>
      <c r="K15" s="45"/>
      <c r="L15" s="45"/>
      <c r="M15" s="45"/>
      <c r="N15" s="45"/>
    </row>
    <row r="16" spans="1:14" s="47" customFormat="1" ht="34.950000000000003" customHeight="1" x14ac:dyDescent="0.45">
      <c r="A16" s="51"/>
      <c r="B16" s="51"/>
      <c r="C16" s="45"/>
      <c r="D16" s="52"/>
      <c r="E16" s="45"/>
      <c r="F16" s="45"/>
      <c r="G16" s="45"/>
      <c r="H16" s="45"/>
      <c r="I16" s="45"/>
      <c r="J16" s="45"/>
      <c r="K16" s="45"/>
      <c r="L16" s="45"/>
      <c r="M16" s="45"/>
      <c r="N16" s="45"/>
    </row>
    <row r="17" spans="1:14" s="47" customFormat="1" ht="34.950000000000003" customHeight="1" x14ac:dyDescent="0.45">
      <c r="A17" s="51"/>
      <c r="B17" s="51"/>
      <c r="C17" s="45"/>
      <c r="D17" s="52"/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 spans="1:14" s="47" customFormat="1" ht="34.950000000000003" customHeight="1" x14ac:dyDescent="0.45">
      <c r="A18" s="51"/>
      <c r="B18" s="51"/>
      <c r="C18" s="45"/>
      <c r="D18" s="52"/>
      <c r="E18" s="45"/>
      <c r="F18" s="45"/>
      <c r="G18" s="45"/>
      <c r="H18" s="45"/>
      <c r="I18" s="45"/>
      <c r="J18" s="45"/>
      <c r="K18" s="45"/>
      <c r="L18" s="45"/>
      <c r="M18" s="45"/>
      <c r="N18" s="45"/>
    </row>
    <row r="19" spans="1:14" s="47" customFormat="1" ht="34.950000000000003" customHeight="1" x14ac:dyDescent="0.45">
      <c r="A19" s="51"/>
      <c r="B19" s="51"/>
      <c r="C19" s="45"/>
      <c r="D19" s="52"/>
      <c r="E19" s="45"/>
      <c r="F19" s="45"/>
      <c r="G19" s="45"/>
      <c r="H19" s="45"/>
      <c r="I19" s="45"/>
      <c r="J19" s="45"/>
      <c r="K19" s="45"/>
      <c r="L19" s="45"/>
      <c r="M19" s="45"/>
      <c r="N19" s="45"/>
    </row>
    <row r="20" spans="1:14" s="46" customFormat="1" ht="34.950000000000003" customHeight="1" x14ac:dyDescent="0.4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21" spans="1:14" s="47" customFormat="1" ht="34.950000000000003" customHeight="1" x14ac:dyDescent="0.45">
      <c r="A21" s="51"/>
      <c r="B21" s="45"/>
      <c r="C21" s="45"/>
      <c r="D21" s="48"/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 spans="1:14" s="47" customFormat="1" ht="34.950000000000003" customHeight="1" x14ac:dyDescent="0.45">
      <c r="A22" s="51"/>
      <c r="B22" s="45"/>
      <c r="C22" s="45"/>
      <c r="D22" s="48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 spans="1:14" s="47" customFormat="1" ht="34.950000000000003" customHeight="1" x14ac:dyDescent="0.45">
      <c r="A23" s="51"/>
      <c r="B23" s="45"/>
      <c r="C23" s="45"/>
      <c r="D23" s="48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spans="1:14" s="47" customFormat="1" ht="34.950000000000003" customHeight="1" x14ac:dyDescent="0.45">
      <c r="A24" s="51"/>
      <c r="B24" s="45"/>
      <c r="C24" s="45"/>
      <c r="D24" s="48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 spans="1:14" s="47" customFormat="1" ht="34.950000000000003" customHeight="1" x14ac:dyDescent="0.45">
      <c r="A25" s="51"/>
      <c r="B25" s="45"/>
      <c r="C25" s="45"/>
      <c r="D25" s="48"/>
      <c r="E25" s="45"/>
      <c r="F25" s="45"/>
      <c r="G25" s="45"/>
      <c r="H25" s="45"/>
      <c r="I25" s="45"/>
      <c r="J25" s="45"/>
      <c r="K25" s="45"/>
      <c r="L25" s="45"/>
      <c r="M25" s="45"/>
      <c r="N25" s="45"/>
    </row>
    <row r="26" spans="1:14" s="47" customFormat="1" ht="34.950000000000003" customHeight="1" x14ac:dyDescent="0.45">
      <c r="A26" s="51"/>
      <c r="B26" s="45"/>
      <c r="C26" s="45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</row>
    <row r="27" spans="1:14" s="47" customFormat="1" ht="34.950000000000003" customHeight="1" x14ac:dyDescent="0.45">
      <c r="A27" s="51"/>
      <c r="B27" s="45"/>
      <c r="C27" s="45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</row>
    <row r="28" spans="1:14" s="47" customFormat="1" ht="34.950000000000003" customHeight="1" x14ac:dyDescent="0.45">
      <c r="A28" s="51"/>
      <c r="B28" s="45"/>
      <c r="C28" s="45"/>
      <c r="D28" s="48"/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 spans="1:14" s="47" customFormat="1" ht="34.950000000000003" customHeight="1" x14ac:dyDescent="0.45">
      <c r="A29" s="51"/>
      <c r="B29" s="45"/>
      <c r="C29" s="45"/>
      <c r="D29" s="48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1:14" s="47" customFormat="1" ht="34.950000000000003" customHeight="1" x14ac:dyDescent="0.45">
      <c r="A30" s="51"/>
      <c r="B30" s="45"/>
      <c r="C30" s="45"/>
      <c r="D30" s="48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spans="1:14" s="47" customFormat="1" ht="34.950000000000003" customHeight="1" x14ac:dyDescent="0.45">
      <c r="A31" s="51"/>
      <c r="B31" s="45"/>
      <c r="C31" s="45"/>
      <c r="D31" s="48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1:14" s="47" customFormat="1" ht="34.950000000000003" customHeight="1" x14ac:dyDescent="0.45">
      <c r="A32" s="51"/>
      <c r="B32" s="45"/>
      <c r="C32" s="45"/>
      <c r="D32" s="48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1:14" s="47" customFormat="1" ht="34.950000000000003" customHeight="1" x14ac:dyDescent="0.45">
      <c r="A33" s="51"/>
      <c r="B33" s="45"/>
      <c r="C33" s="45"/>
      <c r="D33" s="48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1:14" s="47" customFormat="1" ht="34.950000000000003" customHeight="1" x14ac:dyDescent="0.45">
      <c r="A34" s="51"/>
      <c r="B34" s="45"/>
      <c r="C34" s="45"/>
      <c r="D34" s="48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1:14" s="47" customFormat="1" ht="34.950000000000003" customHeight="1" x14ac:dyDescent="0.45">
      <c r="A35" s="51"/>
      <c r="B35" s="45"/>
      <c r="C35" s="45"/>
      <c r="D35" s="48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6" spans="1:14" s="47" customFormat="1" ht="34.950000000000003" customHeight="1" x14ac:dyDescent="0.45">
      <c r="A36" s="51"/>
      <c r="B36" s="45"/>
      <c r="C36" s="45"/>
      <c r="D36" s="48"/>
      <c r="E36" s="45"/>
      <c r="F36" s="45"/>
      <c r="G36" s="45"/>
      <c r="H36" s="45"/>
      <c r="I36" s="45"/>
      <c r="J36" s="45"/>
      <c r="K36" s="45"/>
      <c r="L36" s="45"/>
      <c r="M36" s="45"/>
      <c r="N36" s="45"/>
    </row>
    <row r="37" spans="1:14" s="47" customFormat="1" ht="34.950000000000003" customHeight="1" x14ac:dyDescent="0.45">
      <c r="A37" s="51"/>
      <c r="B37" s="45"/>
      <c r="C37" s="45"/>
      <c r="D37" s="48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1:14" s="47" customFormat="1" ht="34.950000000000003" customHeight="1" x14ac:dyDescent="0.45">
      <c r="A38" s="51"/>
      <c r="B38" s="45"/>
      <c r="C38" s="45"/>
      <c r="D38" s="48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spans="1:14" s="47" customFormat="1" ht="34.950000000000003" customHeight="1" x14ac:dyDescent="0.45">
      <c r="A39" s="51"/>
      <c r="B39" s="45"/>
      <c r="C39" s="45"/>
      <c r="D39" s="48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spans="1:14" s="47" customFormat="1" ht="34.950000000000003" customHeight="1" x14ac:dyDescent="0.45">
      <c r="A40" s="51"/>
      <c r="B40" s="45"/>
      <c r="C40" s="45"/>
      <c r="D40" s="48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1:14" s="47" customFormat="1" ht="34.950000000000003" customHeight="1" x14ac:dyDescent="0.45">
      <c r="A41" s="51"/>
      <c r="B41" s="45"/>
      <c r="C41" s="45"/>
      <c r="D41" s="48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spans="1:14" s="47" customFormat="1" ht="34.950000000000003" customHeight="1" x14ac:dyDescent="0.45">
      <c r="A42" s="51"/>
      <c r="B42" s="45"/>
      <c r="C42" s="45"/>
      <c r="D42" s="48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spans="1:14" s="47" customFormat="1" ht="34.950000000000003" customHeight="1" x14ac:dyDescent="0.45">
      <c r="A43" s="51"/>
      <c r="B43" s="45"/>
      <c r="C43" s="45"/>
      <c r="D43" s="48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1:14" s="47" customFormat="1" ht="34.950000000000003" customHeight="1" x14ac:dyDescent="0.45">
      <c r="A44" s="51"/>
      <c r="B44" s="45"/>
      <c r="C44" s="45"/>
      <c r="D44" s="48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spans="1:14" s="47" customFormat="1" ht="34.950000000000003" customHeight="1" x14ac:dyDescent="0.45">
      <c r="A45" s="51"/>
      <c r="B45" s="45"/>
      <c r="C45" s="45"/>
      <c r="D45" s="48"/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spans="1:14" s="47" customFormat="1" ht="34.950000000000003" customHeight="1" x14ac:dyDescent="0.45">
      <c r="A46" s="51"/>
      <c r="B46" s="45"/>
      <c r="C46" s="45"/>
      <c r="D46" s="48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spans="1:14" s="47" customFormat="1" ht="34.950000000000003" customHeight="1" x14ac:dyDescent="0.45">
      <c r="A47" s="51"/>
      <c r="B47" s="45"/>
      <c r="C47" s="45"/>
      <c r="D47" s="48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1:14" s="47" customFormat="1" ht="34.950000000000003" customHeight="1" x14ac:dyDescent="0.45">
      <c r="A48" s="51"/>
      <c r="B48" s="45"/>
      <c r="C48" s="45"/>
      <c r="D48" s="48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1:14" s="47" customFormat="1" ht="34.950000000000003" customHeight="1" x14ac:dyDescent="0.45">
      <c r="A49" s="51"/>
      <c r="B49" s="45"/>
      <c r="C49" s="45"/>
      <c r="D49" s="48"/>
      <c r="E49" s="45"/>
      <c r="F49" s="45"/>
      <c r="G49" s="45"/>
      <c r="H49" s="45"/>
      <c r="I49" s="45"/>
      <c r="J49" s="45"/>
      <c r="K49" s="45"/>
      <c r="L49" s="45"/>
      <c r="M49" s="45"/>
      <c r="N49" s="45"/>
    </row>
    <row r="50" spans="1:14" s="47" customFormat="1" ht="34.950000000000003" customHeight="1" x14ac:dyDescent="0.45">
      <c r="A50" s="51"/>
      <c r="B50" s="45"/>
      <c r="C50" s="45"/>
      <c r="D50" s="48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s="47" customFormat="1" ht="34.950000000000003" customHeight="1" x14ac:dyDescent="0.45">
      <c r="A51" s="51"/>
      <c r="B51" s="45"/>
      <c r="C51" s="45"/>
      <c r="D51" s="48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s="47" customFormat="1" ht="34.950000000000003" customHeight="1" x14ac:dyDescent="0.45">
      <c r="A52" s="51"/>
      <c r="B52" s="45"/>
      <c r="C52" s="45"/>
      <c r="D52" s="48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s="47" customFormat="1" ht="34.950000000000003" customHeight="1" x14ac:dyDescent="0.45">
      <c r="A53" s="51"/>
      <c r="B53" s="45"/>
      <c r="C53" s="45"/>
      <c r="D53" s="48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1:14" s="47" customFormat="1" ht="34.950000000000003" customHeight="1" x14ac:dyDescent="0.45">
      <c r="A54" s="51"/>
      <c r="B54" s="45"/>
      <c r="C54" s="45"/>
      <c r="D54" s="48"/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 spans="1:14" s="47" customFormat="1" ht="34.950000000000003" customHeight="1" x14ac:dyDescent="0.45">
      <c r="A55" s="51"/>
      <c r="B55" s="45"/>
      <c r="C55" s="45"/>
      <c r="D55" s="48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 spans="1:14" s="47" customFormat="1" ht="34.950000000000003" customHeight="1" x14ac:dyDescent="0.45">
      <c r="A56" s="51"/>
      <c r="B56" s="45"/>
      <c r="C56" s="45"/>
      <c r="D56" s="48"/>
      <c r="E56" s="45"/>
      <c r="F56" s="45"/>
      <c r="G56" s="45"/>
      <c r="H56" s="45"/>
      <c r="I56" s="45"/>
      <c r="J56" s="45"/>
      <c r="K56" s="45"/>
      <c r="L56" s="45"/>
      <c r="M56" s="45"/>
      <c r="N56" s="45"/>
    </row>
    <row r="57" spans="1:14" s="47" customFormat="1" ht="34.950000000000003" customHeight="1" x14ac:dyDescent="0.45">
      <c r="A57" s="51"/>
      <c r="B57" s="45"/>
      <c r="C57" s="45"/>
      <c r="D57" s="48"/>
      <c r="E57" s="45"/>
      <c r="F57" s="45"/>
      <c r="G57" s="45"/>
      <c r="H57" s="45"/>
      <c r="I57" s="45"/>
      <c r="J57" s="45"/>
      <c r="K57" s="45"/>
      <c r="L57" s="45"/>
      <c r="M57" s="45"/>
      <c r="N57" s="45"/>
    </row>
    <row r="58" spans="1:14" s="47" customFormat="1" ht="34.950000000000003" customHeight="1" x14ac:dyDescent="0.45">
      <c r="A58" s="51"/>
      <c r="B58" s="45"/>
      <c r="C58" s="45"/>
      <c r="D58" s="48"/>
      <c r="E58" s="45"/>
      <c r="F58" s="45"/>
      <c r="G58" s="45"/>
      <c r="H58" s="45"/>
      <c r="I58" s="45"/>
      <c r="J58" s="45"/>
      <c r="K58" s="45"/>
      <c r="L58" s="45"/>
      <c r="M58" s="45"/>
      <c r="N58" s="45"/>
    </row>
    <row r="59" spans="1:14" s="47" customFormat="1" ht="34.950000000000003" customHeight="1" x14ac:dyDescent="0.45">
      <c r="A59" s="51"/>
      <c r="B59" s="45"/>
      <c r="C59" s="45"/>
      <c r="D59" s="48"/>
      <c r="E59" s="45"/>
      <c r="F59" s="45"/>
      <c r="G59" s="45"/>
      <c r="H59" s="45"/>
      <c r="I59" s="45"/>
      <c r="J59" s="45"/>
      <c r="K59" s="45"/>
      <c r="L59" s="45"/>
      <c r="M59" s="45"/>
      <c r="N59" s="45"/>
    </row>
    <row r="60" spans="1:14" s="47" customFormat="1" ht="34.950000000000003" customHeight="1" x14ac:dyDescent="0.45">
      <c r="A60" s="51"/>
      <c r="B60" s="45"/>
      <c r="C60" s="45"/>
      <c r="D60" s="48"/>
      <c r="E60" s="45"/>
      <c r="F60" s="45"/>
      <c r="G60" s="45"/>
      <c r="H60" s="45"/>
      <c r="I60" s="45"/>
      <c r="J60" s="45"/>
      <c r="K60" s="45"/>
      <c r="L60" s="45"/>
      <c r="M60" s="45"/>
      <c r="N60" s="45"/>
    </row>
    <row r="61" spans="1:14" s="47" customFormat="1" ht="34.950000000000003" customHeight="1" x14ac:dyDescent="0.45">
      <c r="A61" s="51"/>
      <c r="B61" s="45"/>
      <c r="C61" s="45"/>
      <c r="D61" s="48"/>
      <c r="E61" s="45"/>
      <c r="F61" s="45"/>
      <c r="G61" s="45"/>
      <c r="H61" s="45"/>
      <c r="I61" s="45"/>
      <c r="J61" s="45"/>
      <c r="K61" s="45"/>
      <c r="L61" s="45"/>
      <c r="M61" s="45"/>
      <c r="N61" s="45"/>
    </row>
    <row r="62" spans="1:14" s="47" customFormat="1" ht="34.950000000000003" customHeight="1" x14ac:dyDescent="0.45">
      <c r="A62" s="51"/>
      <c r="B62" s="45"/>
      <c r="C62" s="45"/>
      <c r="D62" s="48"/>
      <c r="E62" s="45"/>
      <c r="F62" s="45"/>
      <c r="G62" s="45"/>
      <c r="H62" s="45"/>
      <c r="I62" s="45"/>
      <c r="J62" s="45"/>
      <c r="K62" s="45"/>
      <c r="L62" s="45"/>
      <c r="M62" s="45"/>
      <c r="N62" s="45"/>
    </row>
    <row r="63" spans="1:14" s="47" customFormat="1" ht="34.950000000000003" customHeight="1" x14ac:dyDescent="0.45">
      <c r="A63" s="51"/>
      <c r="B63" s="45"/>
      <c r="C63" s="45"/>
      <c r="D63" s="48"/>
      <c r="E63" s="45"/>
      <c r="F63" s="45"/>
      <c r="G63" s="45"/>
      <c r="H63" s="45"/>
      <c r="I63" s="45"/>
      <c r="J63" s="45"/>
      <c r="K63" s="45"/>
      <c r="L63" s="45"/>
      <c r="M63" s="45"/>
      <c r="N63" s="45"/>
    </row>
    <row r="64" spans="1:14" s="47" customFormat="1" ht="34.950000000000003" customHeight="1" x14ac:dyDescent="0.45">
      <c r="A64" s="51"/>
      <c r="B64" s="45"/>
      <c r="C64" s="45"/>
      <c r="D64" s="48"/>
      <c r="E64" s="45"/>
      <c r="F64" s="45"/>
      <c r="G64" s="45"/>
      <c r="H64" s="45"/>
      <c r="I64" s="45"/>
      <c r="J64" s="45"/>
      <c r="K64" s="45"/>
      <c r="L64" s="45"/>
      <c r="M64" s="45"/>
      <c r="N64" s="45"/>
    </row>
    <row r="65" spans="1:14" s="47" customFormat="1" ht="34.950000000000003" customHeight="1" x14ac:dyDescent="0.45">
      <c r="A65" s="51"/>
      <c r="B65" s="45"/>
      <c r="C65" s="45"/>
      <c r="D65" s="48"/>
      <c r="E65" s="45"/>
      <c r="F65" s="45"/>
      <c r="G65" s="45"/>
      <c r="H65" s="45"/>
      <c r="I65" s="45"/>
      <c r="J65" s="45"/>
      <c r="K65" s="45"/>
      <c r="L65" s="45"/>
      <c r="M65" s="45"/>
      <c r="N65" s="45"/>
    </row>
    <row r="66" spans="1:14" s="47" customFormat="1" ht="34.950000000000003" customHeight="1" x14ac:dyDescent="0.45">
      <c r="A66" s="51"/>
      <c r="B66" s="45"/>
      <c r="C66" s="45"/>
      <c r="D66" s="48"/>
      <c r="E66" s="45"/>
      <c r="F66" s="45"/>
      <c r="G66" s="45"/>
      <c r="H66" s="45"/>
      <c r="I66" s="45"/>
      <c r="J66" s="45"/>
      <c r="K66" s="45"/>
      <c r="L66" s="45"/>
      <c r="M66" s="45"/>
      <c r="N66" s="45"/>
    </row>
    <row r="67" spans="1:14" s="47" customFormat="1" ht="34.950000000000003" customHeight="1" x14ac:dyDescent="0.45">
      <c r="A67" s="51"/>
      <c r="B67" s="45"/>
      <c r="C67" s="45"/>
      <c r="D67" s="48"/>
      <c r="E67" s="45"/>
      <c r="F67" s="45"/>
      <c r="G67" s="45"/>
      <c r="H67" s="45"/>
      <c r="I67" s="45"/>
      <c r="J67" s="45"/>
      <c r="K67" s="45"/>
      <c r="L67" s="45"/>
      <c r="M67" s="45"/>
      <c r="N67" s="45"/>
    </row>
    <row r="68" spans="1:14" s="47" customFormat="1" ht="34.950000000000003" customHeight="1" x14ac:dyDescent="0.45">
      <c r="A68" s="51"/>
      <c r="B68" s="45"/>
      <c r="C68" s="45"/>
      <c r="D68" s="48"/>
      <c r="E68" s="45"/>
      <c r="F68" s="45"/>
      <c r="G68" s="45"/>
      <c r="H68" s="45"/>
      <c r="I68" s="45"/>
      <c r="J68" s="45"/>
      <c r="K68" s="45"/>
      <c r="L68" s="45"/>
      <c r="M68" s="45"/>
      <c r="N68" s="45"/>
    </row>
    <row r="69" spans="1:14" s="47" customFormat="1" ht="34.950000000000003" customHeight="1" x14ac:dyDescent="0.45">
      <c r="A69" s="51"/>
      <c r="B69" s="45"/>
      <c r="C69" s="45"/>
      <c r="D69" s="48"/>
      <c r="E69" s="45"/>
      <c r="F69" s="45"/>
      <c r="G69" s="45"/>
      <c r="H69" s="45"/>
      <c r="I69" s="45"/>
      <c r="J69" s="45"/>
      <c r="K69" s="45"/>
      <c r="L69" s="45"/>
      <c r="M69" s="45"/>
      <c r="N69" s="45"/>
    </row>
    <row r="70" spans="1:14" s="47" customFormat="1" ht="34.950000000000003" customHeight="1" x14ac:dyDescent="0.45">
      <c r="A70" s="51"/>
      <c r="B70" s="45"/>
      <c r="C70" s="45"/>
      <c r="D70" s="48"/>
      <c r="E70" s="45"/>
      <c r="F70" s="45"/>
      <c r="G70" s="45"/>
      <c r="H70" s="45"/>
      <c r="I70" s="45"/>
      <c r="J70" s="45"/>
      <c r="K70" s="45"/>
      <c r="L70" s="45"/>
      <c r="M70" s="45"/>
      <c r="N70" s="45"/>
    </row>
    <row r="71" spans="1:14" s="47" customFormat="1" ht="34.950000000000003" customHeight="1" x14ac:dyDescent="0.45">
      <c r="A71" s="51"/>
      <c r="B71" s="45"/>
      <c r="C71" s="45"/>
      <c r="D71" s="48"/>
      <c r="E71" s="45"/>
      <c r="F71" s="45"/>
      <c r="G71" s="45"/>
      <c r="H71" s="45"/>
      <c r="I71" s="45"/>
      <c r="J71" s="45"/>
      <c r="K71" s="45"/>
      <c r="L71" s="45"/>
      <c r="M71" s="45"/>
      <c r="N71" s="45"/>
    </row>
    <row r="72" spans="1:14" s="47" customFormat="1" ht="34.950000000000003" customHeight="1" x14ac:dyDescent="0.45">
      <c r="A72" s="51"/>
      <c r="B72" s="45"/>
      <c r="C72" s="45"/>
      <c r="D72" s="48"/>
      <c r="E72" s="45"/>
      <c r="F72" s="45"/>
      <c r="G72" s="45"/>
      <c r="H72" s="45"/>
      <c r="I72" s="45"/>
      <c r="J72" s="45"/>
      <c r="K72" s="45"/>
      <c r="L72" s="45"/>
      <c r="M72" s="45"/>
      <c r="N72" s="45"/>
    </row>
    <row r="73" spans="1:14" s="47" customFormat="1" ht="34.950000000000003" customHeight="1" x14ac:dyDescent="0.45">
      <c r="A73" s="51"/>
      <c r="B73" s="45"/>
      <c r="C73" s="45"/>
      <c r="D73" s="48"/>
      <c r="E73" s="45"/>
      <c r="F73" s="45"/>
      <c r="G73" s="45"/>
      <c r="H73" s="45"/>
      <c r="I73" s="45"/>
      <c r="J73" s="45"/>
      <c r="K73" s="45"/>
      <c r="L73" s="45"/>
      <c r="M73" s="45"/>
      <c r="N73" s="45"/>
    </row>
    <row r="74" spans="1:14" s="47" customFormat="1" ht="34.950000000000003" customHeight="1" x14ac:dyDescent="0.45">
      <c r="A74" s="51"/>
      <c r="B74" s="45"/>
      <c r="C74" s="45"/>
      <c r="D74" s="48"/>
      <c r="E74" s="45"/>
      <c r="F74" s="45"/>
      <c r="G74" s="45"/>
      <c r="H74" s="45"/>
      <c r="I74" s="45"/>
      <c r="J74" s="45"/>
      <c r="K74" s="45"/>
      <c r="L74" s="45"/>
      <c r="M74" s="45"/>
      <c r="N74" s="45"/>
    </row>
    <row r="75" spans="1:14" s="47" customFormat="1" ht="34.950000000000003" customHeight="1" x14ac:dyDescent="0.45">
      <c r="A75" s="51"/>
      <c r="B75" s="45"/>
      <c r="C75" s="45"/>
      <c r="D75" s="48"/>
      <c r="E75" s="45"/>
      <c r="F75" s="45"/>
      <c r="G75" s="45"/>
      <c r="H75" s="45"/>
      <c r="I75" s="45"/>
      <c r="J75" s="45"/>
      <c r="K75" s="45"/>
      <c r="L75" s="45"/>
      <c r="M75" s="45"/>
      <c r="N75" s="45"/>
    </row>
    <row r="76" spans="1:14" s="47" customFormat="1" ht="34.950000000000003" customHeight="1" x14ac:dyDescent="0.45">
      <c r="A76" s="51"/>
      <c r="B76" s="45"/>
      <c r="C76" s="45"/>
      <c r="D76" s="48"/>
      <c r="E76" s="45"/>
      <c r="F76" s="45"/>
      <c r="G76" s="45"/>
      <c r="H76" s="45"/>
      <c r="I76" s="45"/>
      <c r="J76" s="45"/>
      <c r="K76" s="45"/>
      <c r="L76" s="45"/>
      <c r="M76" s="45"/>
      <c r="N76" s="45"/>
    </row>
    <row r="77" spans="1:14" s="47" customFormat="1" ht="34.950000000000003" customHeight="1" x14ac:dyDescent="0.45">
      <c r="A77" s="51"/>
      <c r="B77" s="45"/>
      <c r="C77" s="45"/>
      <c r="D77" s="48"/>
      <c r="E77" s="45"/>
      <c r="F77" s="45"/>
      <c r="G77" s="45"/>
      <c r="H77" s="45"/>
      <c r="I77" s="45"/>
      <c r="J77" s="45"/>
      <c r="K77" s="45"/>
      <c r="L77" s="45"/>
      <c r="M77" s="45"/>
      <c r="N77" s="45"/>
    </row>
    <row r="78" spans="1:14" s="47" customFormat="1" ht="34.950000000000003" customHeight="1" x14ac:dyDescent="0.45">
      <c r="A78" s="51"/>
      <c r="B78" s="45"/>
      <c r="C78" s="45"/>
      <c r="D78" s="48"/>
      <c r="E78" s="45"/>
      <c r="F78" s="45"/>
      <c r="G78" s="45"/>
      <c r="H78" s="45"/>
      <c r="I78" s="45"/>
      <c r="J78" s="45"/>
      <c r="K78" s="45"/>
      <c r="L78" s="45"/>
      <c r="M78" s="45"/>
      <c r="N78" s="45"/>
    </row>
    <row r="79" spans="1:14" s="47" customFormat="1" ht="34.950000000000003" customHeight="1" x14ac:dyDescent="0.45">
      <c r="A79" s="51"/>
      <c r="B79" s="45"/>
      <c r="C79" s="45"/>
      <c r="D79" s="48"/>
      <c r="E79" s="45"/>
      <c r="F79" s="45"/>
      <c r="G79" s="45"/>
      <c r="H79" s="45"/>
      <c r="I79" s="45"/>
      <c r="J79" s="45"/>
      <c r="K79" s="45"/>
      <c r="L79" s="45"/>
      <c r="M79" s="45"/>
      <c r="N79" s="45"/>
    </row>
    <row r="80" spans="1:14" s="47" customFormat="1" ht="34.950000000000003" customHeight="1" x14ac:dyDescent="0.45">
      <c r="A80" s="51"/>
      <c r="B80" s="45"/>
      <c r="C80" s="45"/>
      <c r="D80" s="48"/>
      <c r="E80" s="45"/>
      <c r="F80" s="45"/>
      <c r="G80" s="45"/>
      <c r="H80" s="45"/>
      <c r="I80" s="45"/>
      <c r="J80" s="45"/>
      <c r="K80" s="45"/>
      <c r="L80" s="45"/>
      <c r="M80" s="45"/>
      <c r="N80" s="45"/>
    </row>
    <row r="81" spans="1:14" s="47" customFormat="1" ht="34.950000000000003" customHeight="1" x14ac:dyDescent="0.45">
      <c r="A81" s="51"/>
      <c r="B81" s="45"/>
      <c r="C81" s="45"/>
      <c r="D81" s="48"/>
      <c r="E81" s="45"/>
      <c r="F81" s="45"/>
      <c r="G81" s="45"/>
      <c r="H81" s="45"/>
      <c r="I81" s="45"/>
      <c r="J81" s="45"/>
      <c r="K81" s="45"/>
      <c r="L81" s="45"/>
      <c r="M81" s="45"/>
      <c r="N81" s="45"/>
    </row>
    <row r="82" spans="1:14" s="47" customFormat="1" ht="34.950000000000003" customHeight="1" x14ac:dyDescent="0.45">
      <c r="A82" s="51"/>
      <c r="B82" s="45"/>
      <c r="C82" s="45"/>
      <c r="D82" s="48"/>
      <c r="E82" s="45"/>
      <c r="F82" s="45"/>
      <c r="G82" s="45"/>
      <c r="H82" s="45"/>
      <c r="I82" s="45"/>
      <c r="J82" s="45"/>
      <c r="K82" s="45"/>
      <c r="L82" s="45"/>
      <c r="M82" s="45"/>
      <c r="N82" s="45"/>
    </row>
    <row r="83" spans="1:14" s="47" customFormat="1" ht="34.950000000000003" customHeight="1" x14ac:dyDescent="0.45">
      <c r="A83" s="51"/>
      <c r="B83" s="45"/>
      <c r="C83" s="45"/>
      <c r="D83" s="48"/>
      <c r="E83" s="45"/>
      <c r="F83" s="45"/>
      <c r="G83" s="45"/>
      <c r="H83" s="45"/>
      <c r="I83" s="45"/>
      <c r="J83" s="45"/>
      <c r="K83" s="45"/>
      <c r="L83" s="45"/>
      <c r="M83" s="45"/>
      <c r="N83" s="45"/>
    </row>
    <row r="84" spans="1:14" s="47" customFormat="1" ht="34.950000000000003" customHeight="1" x14ac:dyDescent="0.45">
      <c r="A84" s="51"/>
      <c r="B84" s="45"/>
      <c r="C84" s="45"/>
      <c r="D84" s="48"/>
      <c r="E84" s="45"/>
      <c r="F84" s="45"/>
      <c r="G84" s="45"/>
      <c r="H84" s="45"/>
      <c r="I84" s="45"/>
      <c r="J84" s="45"/>
      <c r="K84" s="45"/>
      <c r="L84" s="45"/>
      <c r="M84" s="45"/>
      <c r="N84" s="45"/>
    </row>
    <row r="85" spans="1:14" s="47" customFormat="1" ht="34.950000000000003" customHeight="1" x14ac:dyDescent="0.45">
      <c r="A85" s="51"/>
      <c r="B85" s="45"/>
      <c r="C85" s="45"/>
      <c r="D85" s="48"/>
      <c r="E85" s="45"/>
      <c r="F85" s="45"/>
      <c r="G85" s="45"/>
      <c r="H85" s="45"/>
      <c r="I85" s="45"/>
      <c r="J85" s="45"/>
      <c r="K85" s="45"/>
      <c r="L85" s="45"/>
      <c r="M85" s="45"/>
      <c r="N85" s="45"/>
    </row>
    <row r="86" spans="1:14" s="47" customFormat="1" ht="34.950000000000003" customHeight="1" x14ac:dyDescent="0.45">
      <c r="A86" s="51"/>
      <c r="B86" s="45"/>
      <c r="C86" s="45"/>
      <c r="D86" s="48"/>
      <c r="E86" s="45"/>
      <c r="F86" s="45"/>
      <c r="G86" s="45"/>
      <c r="H86" s="45"/>
      <c r="I86" s="45"/>
      <c r="J86" s="45"/>
      <c r="K86" s="45"/>
      <c r="L86" s="45"/>
      <c r="M86" s="45"/>
      <c r="N86" s="45"/>
    </row>
    <row r="87" spans="1:14" s="47" customFormat="1" ht="34.950000000000003" customHeight="1" x14ac:dyDescent="0.45">
      <c r="A87" s="51"/>
      <c r="B87" s="45"/>
      <c r="C87" s="45"/>
      <c r="D87" s="48"/>
      <c r="E87" s="45"/>
      <c r="F87" s="45"/>
      <c r="G87" s="45"/>
      <c r="H87" s="45"/>
      <c r="I87" s="45"/>
      <c r="J87" s="45"/>
      <c r="K87" s="45"/>
      <c r="L87" s="45"/>
      <c r="M87" s="45"/>
      <c r="N87" s="45"/>
    </row>
    <row r="88" spans="1:14" s="47" customFormat="1" ht="34.950000000000003" customHeight="1" x14ac:dyDescent="0.45">
      <c r="A88" s="51"/>
      <c r="B88" s="45"/>
      <c r="C88" s="45"/>
      <c r="D88" s="48"/>
      <c r="E88" s="45"/>
      <c r="F88" s="45"/>
      <c r="G88" s="45"/>
      <c r="H88" s="45"/>
      <c r="I88" s="45"/>
      <c r="J88" s="45"/>
      <c r="K88" s="45"/>
      <c r="L88" s="45"/>
      <c r="M88" s="45"/>
      <c r="N88" s="45"/>
    </row>
    <row r="89" spans="1:14" s="47" customFormat="1" ht="34.950000000000003" customHeight="1" x14ac:dyDescent="0.45">
      <c r="A89" s="51"/>
      <c r="B89" s="45"/>
      <c r="C89" s="45"/>
      <c r="D89" s="48"/>
      <c r="E89" s="45"/>
      <c r="F89" s="45"/>
      <c r="G89" s="45"/>
      <c r="H89" s="45"/>
      <c r="I89" s="45"/>
      <c r="J89" s="45"/>
      <c r="K89" s="45"/>
      <c r="L89" s="45"/>
      <c r="M89" s="45"/>
      <c r="N89" s="45"/>
    </row>
    <row r="90" spans="1:14" s="47" customFormat="1" ht="34.950000000000003" customHeight="1" x14ac:dyDescent="0.45">
      <c r="A90" s="51"/>
      <c r="B90" s="45"/>
      <c r="C90" s="45"/>
      <c r="D90" s="48"/>
      <c r="E90" s="45"/>
      <c r="F90" s="45"/>
      <c r="G90" s="45"/>
      <c r="H90" s="45"/>
      <c r="I90" s="45"/>
      <c r="J90" s="45"/>
      <c r="K90" s="45"/>
      <c r="L90" s="45"/>
      <c r="M90" s="45"/>
      <c r="N90" s="45"/>
    </row>
    <row r="91" spans="1:14" s="47" customFormat="1" ht="34.950000000000003" customHeight="1" x14ac:dyDescent="0.45">
      <c r="A91" s="51"/>
      <c r="B91" s="45"/>
      <c r="C91" s="45"/>
      <c r="D91" s="48"/>
      <c r="E91" s="45"/>
      <c r="F91" s="45"/>
      <c r="G91" s="45"/>
      <c r="H91" s="45"/>
      <c r="I91" s="45"/>
      <c r="J91" s="45"/>
      <c r="K91" s="45"/>
      <c r="L91" s="45"/>
      <c r="M91" s="45"/>
      <c r="N91" s="45"/>
    </row>
    <row r="92" spans="1:14" s="47" customFormat="1" ht="34.950000000000003" customHeight="1" x14ac:dyDescent="0.45">
      <c r="A92" s="51"/>
      <c r="B92" s="45"/>
      <c r="C92" s="45"/>
      <c r="D92" s="48"/>
      <c r="E92" s="45"/>
      <c r="F92" s="45"/>
      <c r="G92" s="45"/>
      <c r="H92" s="45"/>
      <c r="I92" s="45"/>
      <c r="J92" s="45"/>
      <c r="K92" s="45"/>
      <c r="L92" s="45"/>
      <c r="M92" s="45"/>
      <c r="N92" s="45"/>
    </row>
    <row r="93" spans="1:14" s="47" customFormat="1" ht="34.950000000000003" customHeight="1" x14ac:dyDescent="0.45">
      <c r="A93" s="51"/>
      <c r="B93" s="45"/>
      <c r="C93" s="45"/>
      <c r="D93" s="48"/>
      <c r="E93" s="45"/>
      <c r="F93" s="45"/>
      <c r="G93" s="45"/>
      <c r="H93" s="45"/>
      <c r="I93" s="45"/>
      <c r="J93" s="45"/>
      <c r="K93" s="45"/>
      <c r="L93" s="45"/>
      <c r="M93" s="45"/>
      <c r="N93" s="45"/>
    </row>
    <row r="94" spans="1:14" s="47" customFormat="1" ht="34.950000000000003" customHeight="1" x14ac:dyDescent="0.45">
      <c r="A94" s="51"/>
      <c r="B94" s="45"/>
      <c r="C94" s="45"/>
      <c r="D94" s="48"/>
      <c r="E94" s="45"/>
      <c r="F94" s="45"/>
      <c r="G94" s="45"/>
      <c r="H94" s="45"/>
      <c r="I94" s="45"/>
      <c r="J94" s="45"/>
      <c r="K94" s="45"/>
      <c r="L94" s="45"/>
      <c r="M94" s="45"/>
      <c r="N94" s="45"/>
    </row>
    <row r="95" spans="1:14" s="47" customFormat="1" ht="34.950000000000003" customHeight="1" x14ac:dyDescent="0.45">
      <c r="A95" s="51"/>
      <c r="B95" s="45"/>
      <c r="C95" s="45"/>
      <c r="D95" s="48"/>
      <c r="E95" s="45"/>
      <c r="F95" s="45"/>
      <c r="G95" s="45"/>
      <c r="H95" s="45"/>
      <c r="I95" s="45"/>
      <c r="J95" s="45"/>
      <c r="K95" s="45"/>
      <c r="L95" s="45"/>
      <c r="M95" s="45"/>
      <c r="N95" s="45"/>
    </row>
    <row r="96" spans="1:14" s="47" customFormat="1" ht="34.950000000000003" customHeight="1" x14ac:dyDescent="0.45">
      <c r="A96" s="51"/>
      <c r="B96" s="45"/>
      <c r="C96" s="45"/>
      <c r="D96" s="48"/>
      <c r="E96" s="45"/>
      <c r="F96" s="45"/>
      <c r="G96" s="45"/>
      <c r="H96" s="45"/>
      <c r="I96" s="45"/>
      <c r="J96" s="45"/>
      <c r="K96" s="45"/>
      <c r="L96" s="45"/>
      <c r="M96" s="45"/>
      <c r="N96" s="45"/>
    </row>
    <row r="97" spans="1:14" s="47" customFormat="1" ht="34.950000000000003" customHeight="1" x14ac:dyDescent="0.45">
      <c r="A97" s="51"/>
      <c r="B97" s="45"/>
      <c r="C97" s="45"/>
      <c r="D97" s="48"/>
      <c r="E97" s="45"/>
      <c r="F97" s="45"/>
      <c r="G97" s="45"/>
      <c r="H97" s="45"/>
      <c r="I97" s="45"/>
      <c r="J97" s="45"/>
      <c r="K97" s="45"/>
      <c r="L97" s="45"/>
      <c r="M97" s="45"/>
      <c r="N97" s="45"/>
    </row>
    <row r="98" spans="1:14" s="47" customFormat="1" ht="34.950000000000003" customHeight="1" x14ac:dyDescent="0.45">
      <c r="A98" s="51"/>
      <c r="B98" s="45"/>
      <c r="C98" s="45"/>
      <c r="D98" s="48"/>
      <c r="E98" s="45"/>
      <c r="F98" s="45"/>
      <c r="G98" s="45"/>
      <c r="H98" s="45"/>
      <c r="I98" s="45"/>
      <c r="J98" s="45"/>
      <c r="K98" s="45"/>
      <c r="L98" s="45"/>
      <c r="M98" s="45"/>
      <c r="N98" s="45"/>
    </row>
    <row r="99" spans="1:14" s="47" customFormat="1" ht="34.950000000000003" customHeight="1" x14ac:dyDescent="0.45">
      <c r="A99" s="51"/>
      <c r="B99" s="45"/>
      <c r="C99" s="45"/>
      <c r="D99" s="48"/>
      <c r="E99" s="45"/>
      <c r="F99" s="45"/>
      <c r="G99" s="45"/>
      <c r="H99" s="45"/>
      <c r="I99" s="45"/>
      <c r="J99" s="45"/>
      <c r="K99" s="45"/>
      <c r="L99" s="45"/>
      <c r="M99" s="45"/>
      <c r="N99" s="45"/>
    </row>
    <row r="100" spans="1:14" s="47" customFormat="1" ht="34.950000000000003" customHeight="1" x14ac:dyDescent="0.45">
      <c r="A100" s="51"/>
      <c r="B100" s="45"/>
      <c r="C100" s="45"/>
      <c r="D100" s="48"/>
      <c r="E100" s="45"/>
      <c r="F100" s="45"/>
      <c r="G100" s="45"/>
      <c r="H100" s="45"/>
      <c r="I100" s="45"/>
      <c r="J100" s="45"/>
      <c r="K100" s="45"/>
      <c r="L100" s="45"/>
      <c r="M100" s="45"/>
      <c r="N100" s="45"/>
    </row>
    <row r="101" spans="1:14" s="47" customFormat="1" ht="34.950000000000003" customHeight="1" x14ac:dyDescent="0.45">
      <c r="A101" s="51"/>
      <c r="B101" s="45"/>
      <c r="C101" s="45"/>
      <c r="D101" s="48"/>
      <c r="E101" s="45"/>
      <c r="F101" s="45"/>
      <c r="G101" s="45"/>
      <c r="H101" s="45"/>
      <c r="I101" s="45"/>
      <c r="J101" s="45"/>
      <c r="K101" s="45"/>
      <c r="L101" s="45"/>
      <c r="M101" s="45"/>
      <c r="N101" s="45"/>
    </row>
    <row r="102" spans="1:14" s="47" customFormat="1" ht="34.950000000000003" customHeight="1" x14ac:dyDescent="0.45">
      <c r="A102" s="51"/>
      <c r="B102" s="45"/>
      <c r="C102" s="45"/>
      <c r="D102" s="48"/>
      <c r="E102" s="45"/>
      <c r="F102" s="45"/>
      <c r="G102" s="45"/>
      <c r="H102" s="45"/>
      <c r="I102" s="45"/>
      <c r="J102" s="45"/>
      <c r="K102" s="45"/>
      <c r="L102" s="45"/>
      <c r="M102" s="45"/>
      <c r="N102" s="45"/>
    </row>
    <row r="103" spans="1:14" s="47" customFormat="1" ht="34.950000000000003" customHeight="1" x14ac:dyDescent="0.45">
      <c r="A103" s="51"/>
      <c r="B103" s="45"/>
      <c r="C103" s="45"/>
      <c r="D103" s="48"/>
      <c r="E103" s="45"/>
      <c r="F103" s="45"/>
      <c r="G103" s="45"/>
      <c r="H103" s="45"/>
      <c r="I103" s="45"/>
      <c r="J103" s="45"/>
      <c r="K103" s="45"/>
      <c r="L103" s="45"/>
      <c r="M103" s="45"/>
      <c r="N103" s="45"/>
    </row>
    <row r="104" spans="1:14" s="47" customFormat="1" ht="34.950000000000003" customHeight="1" x14ac:dyDescent="0.45">
      <c r="A104" s="51"/>
      <c r="B104" s="45"/>
      <c r="C104" s="45"/>
      <c r="D104" s="48"/>
      <c r="E104" s="45"/>
      <c r="F104" s="45"/>
      <c r="G104" s="45"/>
      <c r="H104" s="45"/>
      <c r="I104" s="45"/>
      <c r="J104" s="45"/>
      <c r="K104" s="45"/>
      <c r="L104" s="45"/>
      <c r="M104" s="45"/>
      <c r="N104" s="45"/>
    </row>
    <row r="105" spans="1:14" s="47" customFormat="1" ht="34.950000000000003" customHeight="1" x14ac:dyDescent="0.45">
      <c r="A105" s="51"/>
      <c r="B105" s="45"/>
      <c r="C105" s="45"/>
      <c r="D105" s="48"/>
      <c r="E105" s="45"/>
      <c r="F105" s="45"/>
      <c r="G105" s="45"/>
      <c r="H105" s="45"/>
      <c r="I105" s="45"/>
      <c r="J105" s="45"/>
      <c r="K105" s="45"/>
      <c r="L105" s="45"/>
      <c r="M105" s="45"/>
      <c r="N105" s="45"/>
    </row>
    <row r="106" spans="1:14" s="47" customFormat="1" ht="34.950000000000003" customHeight="1" x14ac:dyDescent="0.45">
      <c r="A106" s="51"/>
      <c r="B106" s="45"/>
      <c r="C106" s="45"/>
      <c r="D106" s="48"/>
      <c r="E106" s="45"/>
      <c r="F106" s="45"/>
      <c r="G106" s="45"/>
      <c r="H106" s="45"/>
      <c r="I106" s="45"/>
      <c r="J106" s="45"/>
      <c r="K106" s="45"/>
      <c r="L106" s="45"/>
      <c r="M106" s="45"/>
      <c r="N106" s="45"/>
    </row>
    <row r="107" spans="1:14" s="47" customFormat="1" ht="34.950000000000003" customHeight="1" x14ac:dyDescent="0.45">
      <c r="A107" s="51"/>
      <c r="B107" s="45"/>
      <c r="C107" s="45"/>
      <c r="D107" s="48"/>
      <c r="E107" s="45"/>
      <c r="F107" s="45"/>
      <c r="G107" s="45"/>
      <c r="H107" s="45"/>
      <c r="I107" s="45"/>
      <c r="J107" s="45"/>
      <c r="K107" s="45"/>
      <c r="L107" s="45"/>
      <c r="M107" s="45"/>
      <c r="N107" s="45"/>
    </row>
    <row r="108" spans="1:14" s="47" customFormat="1" ht="34.950000000000003" customHeight="1" x14ac:dyDescent="0.45">
      <c r="A108" s="51"/>
      <c r="B108" s="45"/>
      <c r="C108" s="45"/>
      <c r="D108" s="48"/>
      <c r="E108" s="45"/>
      <c r="F108" s="45"/>
      <c r="G108" s="45"/>
      <c r="H108" s="45"/>
      <c r="I108" s="45"/>
      <c r="J108" s="45"/>
      <c r="K108" s="45"/>
      <c r="L108" s="45"/>
      <c r="M108" s="45"/>
      <c r="N108" s="45"/>
    </row>
    <row r="109" spans="1:14" s="47" customFormat="1" ht="34.950000000000003" customHeight="1" x14ac:dyDescent="0.45">
      <c r="A109" s="51"/>
      <c r="B109" s="45"/>
      <c r="C109" s="45"/>
      <c r="D109" s="48"/>
      <c r="E109" s="45"/>
      <c r="F109" s="45"/>
      <c r="G109" s="45"/>
      <c r="H109" s="45"/>
      <c r="I109" s="45"/>
      <c r="J109" s="45"/>
      <c r="K109" s="45"/>
      <c r="L109" s="45"/>
      <c r="M109" s="45"/>
      <c r="N109" s="45"/>
    </row>
    <row r="110" spans="1:14" s="47" customFormat="1" ht="34.950000000000003" customHeight="1" x14ac:dyDescent="0.45">
      <c r="A110" s="51"/>
      <c r="B110" s="45"/>
      <c r="C110" s="45"/>
      <c r="D110" s="48"/>
      <c r="E110" s="45"/>
      <c r="F110" s="45"/>
      <c r="G110" s="45"/>
      <c r="H110" s="45"/>
      <c r="I110" s="45"/>
      <c r="J110" s="45"/>
      <c r="K110" s="45"/>
      <c r="L110" s="45"/>
      <c r="M110" s="45"/>
      <c r="N110" s="45"/>
    </row>
    <row r="111" spans="1:14" s="47" customFormat="1" ht="34.950000000000003" customHeight="1" x14ac:dyDescent="0.45">
      <c r="A111" s="51"/>
      <c r="B111" s="45"/>
      <c r="C111" s="45"/>
      <c r="D111" s="48"/>
      <c r="E111" s="45"/>
      <c r="F111" s="45"/>
      <c r="G111" s="45"/>
      <c r="H111" s="45"/>
      <c r="I111" s="45"/>
      <c r="J111" s="45"/>
      <c r="K111" s="45"/>
      <c r="L111" s="45"/>
      <c r="M111" s="45"/>
      <c r="N111" s="45"/>
    </row>
    <row r="112" spans="1:14" s="47" customFormat="1" ht="34.950000000000003" customHeight="1" x14ac:dyDescent="0.45">
      <c r="A112" s="51"/>
      <c r="B112" s="45"/>
      <c r="C112" s="45"/>
      <c r="D112" s="48"/>
      <c r="E112" s="45"/>
      <c r="F112" s="45"/>
      <c r="G112" s="45"/>
      <c r="H112" s="45"/>
      <c r="I112" s="45"/>
      <c r="J112" s="45"/>
      <c r="K112" s="45"/>
      <c r="L112" s="45"/>
      <c r="M112" s="45"/>
      <c r="N112" s="45"/>
    </row>
    <row r="113" spans="1:14" s="47" customFormat="1" ht="34.950000000000003" customHeight="1" x14ac:dyDescent="0.45">
      <c r="A113" s="51"/>
      <c r="B113" s="45"/>
      <c r="C113" s="45"/>
      <c r="D113" s="48"/>
      <c r="E113" s="45"/>
      <c r="F113" s="45"/>
      <c r="G113" s="45"/>
      <c r="H113" s="45"/>
      <c r="I113" s="45"/>
      <c r="J113" s="45"/>
      <c r="K113" s="45"/>
      <c r="L113" s="45"/>
      <c r="M113" s="45"/>
      <c r="N113" s="45"/>
    </row>
    <row r="114" spans="1:14" s="47" customFormat="1" ht="34.950000000000003" customHeight="1" x14ac:dyDescent="0.45">
      <c r="A114" s="51"/>
      <c r="B114" s="45"/>
      <c r="C114" s="45"/>
      <c r="D114" s="48"/>
      <c r="E114" s="45"/>
      <c r="F114" s="45"/>
      <c r="G114" s="45"/>
      <c r="H114" s="45"/>
      <c r="I114" s="45"/>
      <c r="J114" s="45"/>
      <c r="K114" s="45"/>
      <c r="L114" s="45"/>
      <c r="M114" s="45"/>
      <c r="N114" s="45"/>
    </row>
    <row r="115" spans="1:14" s="47" customFormat="1" ht="34.950000000000003" customHeight="1" x14ac:dyDescent="0.45">
      <c r="A115" s="51"/>
      <c r="B115" s="45"/>
      <c r="C115" s="45"/>
      <c r="D115" s="48"/>
      <c r="E115" s="45"/>
      <c r="F115" s="45"/>
      <c r="G115" s="45"/>
      <c r="H115" s="45"/>
      <c r="I115" s="45"/>
      <c r="J115" s="45"/>
      <c r="K115" s="45"/>
      <c r="L115" s="45"/>
      <c r="M115" s="45"/>
      <c r="N115" s="45"/>
    </row>
    <row r="116" spans="1:14" s="47" customFormat="1" ht="34.950000000000003" customHeight="1" x14ac:dyDescent="0.45">
      <c r="A116" s="51"/>
      <c r="B116" s="45"/>
      <c r="C116" s="45"/>
      <c r="D116" s="48"/>
      <c r="E116" s="45"/>
      <c r="F116" s="45"/>
      <c r="G116" s="45"/>
      <c r="H116" s="45"/>
      <c r="I116" s="45"/>
      <c r="J116" s="45"/>
      <c r="K116" s="45"/>
      <c r="L116" s="45"/>
      <c r="M116" s="45"/>
      <c r="N116" s="45"/>
    </row>
    <row r="117" spans="1:14" s="47" customFormat="1" ht="34.950000000000003" customHeight="1" x14ac:dyDescent="0.45">
      <c r="A117" s="51"/>
      <c r="B117" s="45"/>
      <c r="C117" s="45"/>
      <c r="D117" s="48"/>
      <c r="E117" s="45"/>
      <c r="F117" s="45"/>
      <c r="G117" s="45"/>
      <c r="H117" s="45"/>
      <c r="I117" s="45"/>
      <c r="J117" s="45"/>
      <c r="K117" s="45"/>
      <c r="L117" s="45"/>
      <c r="M117" s="45"/>
      <c r="N117" s="45"/>
    </row>
    <row r="118" spans="1:14" s="47" customFormat="1" ht="34.950000000000003" customHeight="1" x14ac:dyDescent="0.45">
      <c r="A118" s="51"/>
      <c r="B118" s="45"/>
      <c r="C118" s="45"/>
      <c r="D118" s="48"/>
      <c r="E118" s="45"/>
      <c r="F118" s="45"/>
      <c r="G118" s="45"/>
      <c r="H118" s="45"/>
      <c r="I118" s="45"/>
      <c r="J118" s="45"/>
      <c r="K118" s="45"/>
      <c r="L118" s="45"/>
      <c r="M118" s="45"/>
      <c r="N118" s="45"/>
    </row>
    <row r="119" spans="1:14" s="47" customFormat="1" ht="34.950000000000003" customHeight="1" x14ac:dyDescent="0.45">
      <c r="A119" s="51"/>
      <c r="B119" s="45"/>
      <c r="C119" s="45"/>
      <c r="D119" s="48"/>
      <c r="E119" s="45"/>
      <c r="F119" s="45"/>
      <c r="G119" s="45"/>
      <c r="H119" s="45"/>
      <c r="I119" s="45"/>
      <c r="J119" s="45"/>
      <c r="K119" s="45"/>
      <c r="L119" s="45"/>
      <c r="M119" s="45"/>
      <c r="N119" s="45"/>
    </row>
    <row r="120" spans="1:14" s="47" customFormat="1" ht="34.950000000000003" customHeight="1" x14ac:dyDescent="0.45">
      <c r="A120" s="51"/>
      <c r="B120" s="45"/>
      <c r="C120" s="45"/>
      <c r="D120" s="48"/>
      <c r="E120" s="45"/>
      <c r="F120" s="45"/>
      <c r="G120" s="45"/>
      <c r="H120" s="45"/>
      <c r="I120" s="45"/>
      <c r="J120" s="45"/>
      <c r="K120" s="45"/>
      <c r="L120" s="45"/>
      <c r="M120" s="45"/>
      <c r="N120" s="45"/>
    </row>
    <row r="121" spans="1:14" s="47" customFormat="1" ht="34.950000000000003" customHeight="1" x14ac:dyDescent="0.45">
      <c r="A121" s="51"/>
      <c r="B121" s="45"/>
      <c r="C121" s="45"/>
      <c r="D121" s="48"/>
      <c r="E121" s="45"/>
      <c r="F121" s="45"/>
      <c r="G121" s="45"/>
      <c r="H121" s="45"/>
      <c r="I121" s="45"/>
      <c r="J121" s="45"/>
      <c r="K121" s="45"/>
      <c r="L121" s="45"/>
      <c r="M121" s="45"/>
      <c r="N121" s="45"/>
    </row>
    <row r="122" spans="1:14" s="47" customFormat="1" ht="34.950000000000003" customHeight="1" x14ac:dyDescent="0.45">
      <c r="A122" s="51"/>
      <c r="B122" s="45"/>
      <c r="C122" s="45"/>
      <c r="D122" s="48"/>
      <c r="E122" s="45"/>
      <c r="F122" s="45"/>
      <c r="G122" s="45"/>
      <c r="H122" s="45"/>
      <c r="I122" s="45"/>
      <c r="J122" s="45"/>
      <c r="K122" s="45"/>
      <c r="L122" s="45"/>
      <c r="M122" s="45"/>
      <c r="N122" s="45"/>
    </row>
    <row r="123" spans="1:14" s="47" customFormat="1" ht="34.950000000000003" customHeight="1" x14ac:dyDescent="0.45">
      <c r="A123" s="51"/>
      <c r="B123" s="45"/>
      <c r="C123" s="45"/>
      <c r="D123" s="48"/>
      <c r="E123" s="45"/>
      <c r="F123" s="45"/>
      <c r="G123" s="45"/>
      <c r="H123" s="45"/>
      <c r="I123" s="45"/>
      <c r="J123" s="45"/>
      <c r="K123" s="45"/>
      <c r="L123" s="45"/>
      <c r="M123" s="45"/>
      <c r="N123" s="45"/>
    </row>
    <row r="124" spans="1:14" s="47" customFormat="1" ht="34.950000000000003" customHeight="1" x14ac:dyDescent="0.45">
      <c r="A124" s="51"/>
      <c r="B124" s="45"/>
      <c r="C124" s="45"/>
      <c r="D124" s="48"/>
      <c r="E124" s="45"/>
      <c r="F124" s="45"/>
      <c r="G124" s="45"/>
      <c r="H124" s="45"/>
      <c r="I124" s="45"/>
      <c r="J124" s="45"/>
      <c r="K124" s="45"/>
      <c r="L124" s="45"/>
      <c r="M124" s="45"/>
      <c r="N124" s="45"/>
    </row>
    <row r="125" spans="1:14" s="47" customFormat="1" ht="34.950000000000003" customHeight="1" x14ac:dyDescent="0.45">
      <c r="A125" s="51"/>
      <c r="B125" s="45"/>
      <c r="C125" s="45"/>
      <c r="D125" s="48"/>
      <c r="E125" s="45"/>
      <c r="F125" s="45"/>
      <c r="G125" s="45"/>
      <c r="H125" s="45"/>
      <c r="I125" s="45"/>
      <c r="J125" s="45"/>
      <c r="K125" s="45"/>
      <c r="L125" s="45"/>
      <c r="M125" s="45"/>
      <c r="N125" s="45"/>
    </row>
    <row r="126" spans="1:14" s="47" customFormat="1" ht="34.950000000000003" customHeight="1" x14ac:dyDescent="0.45">
      <c r="A126" s="51"/>
      <c r="B126" s="45"/>
      <c r="C126" s="45"/>
      <c r="D126" s="48"/>
      <c r="E126" s="45"/>
      <c r="F126" s="45"/>
      <c r="G126" s="45"/>
      <c r="H126" s="45"/>
      <c r="I126" s="45"/>
      <c r="J126" s="45"/>
      <c r="K126" s="45"/>
      <c r="L126" s="45"/>
      <c r="M126" s="45"/>
      <c r="N126" s="45"/>
    </row>
    <row r="127" spans="1:14" s="47" customFormat="1" ht="34.950000000000003" customHeight="1" x14ac:dyDescent="0.45">
      <c r="A127" s="51"/>
      <c r="B127" s="45"/>
      <c r="C127" s="45"/>
      <c r="D127" s="48"/>
      <c r="E127" s="45"/>
      <c r="F127" s="45"/>
      <c r="G127" s="45"/>
      <c r="H127" s="45"/>
      <c r="I127" s="45"/>
      <c r="J127" s="45"/>
      <c r="K127" s="45"/>
      <c r="L127" s="45"/>
      <c r="M127" s="45"/>
      <c r="N127" s="45"/>
    </row>
    <row r="128" spans="1:14" s="47" customFormat="1" ht="34.950000000000003" customHeight="1" x14ac:dyDescent="0.45">
      <c r="A128" s="51"/>
      <c r="B128" s="45"/>
      <c r="C128" s="45"/>
      <c r="D128" s="48"/>
      <c r="E128" s="45"/>
      <c r="F128" s="45"/>
      <c r="G128" s="45"/>
      <c r="H128" s="45"/>
      <c r="I128" s="45"/>
      <c r="J128" s="45"/>
      <c r="K128" s="45"/>
      <c r="L128" s="45"/>
      <c r="M128" s="45"/>
      <c r="N128" s="45"/>
    </row>
    <row r="129" spans="1:14" s="47" customFormat="1" ht="34.950000000000003" customHeight="1" x14ac:dyDescent="0.45">
      <c r="A129" s="51"/>
      <c r="B129" s="45"/>
      <c r="C129" s="45"/>
      <c r="D129" s="48"/>
      <c r="E129" s="45"/>
      <c r="F129" s="45"/>
      <c r="G129" s="45"/>
      <c r="H129" s="45"/>
      <c r="I129" s="45"/>
      <c r="J129" s="45"/>
      <c r="K129" s="45"/>
      <c r="L129" s="45"/>
      <c r="M129" s="45"/>
      <c r="N129" s="45"/>
    </row>
    <row r="130" spans="1:14" s="47" customFormat="1" ht="34.950000000000003" customHeight="1" x14ac:dyDescent="0.45">
      <c r="A130" s="51"/>
      <c r="B130" s="45"/>
      <c r="C130" s="45"/>
      <c r="D130" s="48"/>
      <c r="E130" s="45"/>
      <c r="F130" s="45"/>
      <c r="G130" s="45"/>
      <c r="H130" s="45"/>
      <c r="I130" s="45"/>
      <c r="J130" s="45"/>
      <c r="K130" s="45"/>
      <c r="L130" s="45"/>
      <c r="M130" s="45"/>
      <c r="N130" s="45"/>
    </row>
    <row r="131" spans="1:14" s="47" customFormat="1" ht="34.950000000000003" customHeight="1" x14ac:dyDescent="0.45">
      <c r="A131" s="51"/>
      <c r="B131" s="45"/>
      <c r="C131" s="45"/>
      <c r="D131" s="48"/>
      <c r="E131" s="45"/>
      <c r="F131" s="45"/>
      <c r="G131" s="45"/>
      <c r="H131" s="45"/>
      <c r="I131" s="45"/>
      <c r="J131" s="45"/>
      <c r="K131" s="45"/>
      <c r="L131" s="45"/>
      <c r="M131" s="45"/>
      <c r="N131" s="45"/>
    </row>
    <row r="132" spans="1:14" s="47" customFormat="1" ht="34.950000000000003" customHeight="1" x14ac:dyDescent="0.45">
      <c r="A132" s="51"/>
      <c r="B132" s="45"/>
      <c r="C132" s="45"/>
      <c r="D132" s="48"/>
      <c r="E132" s="45"/>
      <c r="F132" s="45"/>
      <c r="G132" s="45"/>
      <c r="H132" s="45"/>
      <c r="I132" s="45"/>
      <c r="J132" s="45"/>
      <c r="K132" s="45"/>
      <c r="L132" s="45"/>
      <c r="M132" s="45"/>
      <c r="N132" s="45"/>
    </row>
    <row r="133" spans="1:14" s="47" customFormat="1" ht="34.950000000000003" customHeight="1" x14ac:dyDescent="0.45">
      <c r="A133" s="51"/>
      <c r="B133" s="45"/>
      <c r="C133" s="45"/>
      <c r="D133" s="48"/>
      <c r="E133" s="45"/>
      <c r="F133" s="45"/>
      <c r="G133" s="45"/>
      <c r="H133" s="45"/>
      <c r="I133" s="45"/>
      <c r="J133" s="45"/>
      <c r="K133" s="45"/>
      <c r="L133" s="45"/>
      <c r="M133" s="45"/>
      <c r="N133" s="45"/>
    </row>
    <row r="134" spans="1:14" s="47" customFormat="1" ht="34.950000000000003" customHeight="1" x14ac:dyDescent="0.45">
      <c r="A134" s="51"/>
      <c r="B134" s="45"/>
      <c r="C134" s="45"/>
      <c r="D134" s="48"/>
      <c r="E134" s="45"/>
      <c r="F134" s="45"/>
      <c r="G134" s="45"/>
      <c r="H134" s="45"/>
      <c r="I134" s="45"/>
      <c r="J134" s="45"/>
      <c r="K134" s="45"/>
      <c r="L134" s="45"/>
      <c r="M134" s="45"/>
      <c r="N134" s="45"/>
    </row>
    <row r="135" spans="1:14" s="47" customFormat="1" ht="34.950000000000003" customHeight="1" x14ac:dyDescent="0.45">
      <c r="A135" s="51"/>
      <c r="B135" s="45"/>
      <c r="C135" s="45"/>
      <c r="D135" s="48"/>
      <c r="E135" s="45"/>
      <c r="F135" s="45"/>
      <c r="G135" s="45"/>
      <c r="H135" s="45"/>
      <c r="I135" s="45"/>
      <c r="J135" s="45"/>
      <c r="K135" s="45"/>
      <c r="L135" s="45"/>
      <c r="M135" s="45"/>
      <c r="N135" s="45"/>
    </row>
    <row r="136" spans="1:14" s="47" customFormat="1" ht="34.950000000000003" customHeight="1" x14ac:dyDescent="0.45">
      <c r="A136" s="51"/>
      <c r="B136" s="45"/>
      <c r="C136" s="45"/>
      <c r="D136" s="48"/>
      <c r="E136" s="45"/>
      <c r="F136" s="45"/>
      <c r="G136" s="45"/>
      <c r="H136" s="45"/>
      <c r="I136" s="45"/>
      <c r="J136" s="45"/>
      <c r="K136" s="45"/>
      <c r="L136" s="45"/>
      <c r="M136" s="45"/>
      <c r="N136" s="45"/>
    </row>
    <row r="137" spans="1:14" s="47" customFormat="1" ht="34.950000000000003" customHeight="1" x14ac:dyDescent="0.45">
      <c r="A137" s="51"/>
      <c r="B137" s="45"/>
      <c r="C137" s="45"/>
      <c r="D137" s="48"/>
      <c r="E137" s="45"/>
      <c r="F137" s="45"/>
      <c r="G137" s="45"/>
      <c r="H137" s="45"/>
      <c r="I137" s="45"/>
      <c r="J137" s="45"/>
      <c r="K137" s="45"/>
      <c r="L137" s="45"/>
      <c r="M137" s="45"/>
      <c r="N137" s="45"/>
    </row>
    <row r="138" spans="1:14" s="47" customFormat="1" ht="34.950000000000003" customHeight="1" x14ac:dyDescent="0.45">
      <c r="A138" s="51"/>
      <c r="B138" s="45"/>
      <c r="C138" s="45"/>
      <c r="D138" s="48"/>
      <c r="E138" s="45"/>
      <c r="F138" s="45"/>
      <c r="G138" s="45"/>
      <c r="H138" s="45"/>
      <c r="I138" s="45"/>
      <c r="J138" s="45"/>
      <c r="K138" s="45"/>
      <c r="L138" s="45"/>
      <c r="M138" s="45"/>
      <c r="N138" s="45"/>
    </row>
    <row r="139" spans="1:14" s="47" customFormat="1" ht="34.950000000000003" customHeight="1" x14ac:dyDescent="0.45">
      <c r="A139" s="51"/>
      <c r="B139" s="45"/>
      <c r="C139" s="45"/>
      <c r="D139" s="48"/>
      <c r="E139" s="45"/>
      <c r="F139" s="45"/>
      <c r="G139" s="45"/>
      <c r="H139" s="45"/>
      <c r="I139" s="45"/>
      <c r="J139" s="45"/>
      <c r="K139" s="45"/>
      <c r="L139" s="45"/>
      <c r="M139" s="45"/>
      <c r="N139" s="45"/>
    </row>
    <row r="140" spans="1:14" s="47" customFormat="1" ht="34.950000000000003" customHeight="1" x14ac:dyDescent="0.45">
      <c r="A140" s="51"/>
      <c r="B140" s="45"/>
      <c r="C140" s="45"/>
      <c r="D140" s="48"/>
      <c r="E140" s="45"/>
      <c r="F140" s="45"/>
      <c r="G140" s="45"/>
      <c r="H140" s="45"/>
      <c r="I140" s="45"/>
      <c r="J140" s="45"/>
      <c r="K140" s="45"/>
      <c r="L140" s="45"/>
      <c r="M140" s="45"/>
      <c r="N140" s="45"/>
    </row>
    <row r="141" spans="1:14" s="47" customFormat="1" ht="34.950000000000003" customHeight="1" x14ac:dyDescent="0.45">
      <c r="A141" s="51"/>
      <c r="B141" s="45"/>
      <c r="C141" s="45"/>
      <c r="D141" s="48"/>
      <c r="E141" s="45"/>
      <c r="F141" s="45"/>
      <c r="G141" s="45"/>
      <c r="H141" s="45"/>
      <c r="I141" s="45"/>
      <c r="J141" s="45"/>
      <c r="K141" s="45"/>
      <c r="L141" s="45"/>
      <c r="M141" s="45"/>
      <c r="N141" s="45"/>
    </row>
    <row r="142" spans="1:14" s="47" customFormat="1" ht="34.950000000000003" customHeight="1" x14ac:dyDescent="0.45">
      <c r="A142" s="51"/>
      <c r="B142" s="45"/>
      <c r="C142" s="45"/>
      <c r="D142" s="48"/>
      <c r="E142" s="45"/>
      <c r="F142" s="45"/>
      <c r="G142" s="45"/>
      <c r="H142" s="45"/>
      <c r="I142" s="45"/>
      <c r="J142" s="45"/>
      <c r="K142" s="45"/>
      <c r="L142" s="45"/>
      <c r="M142" s="45"/>
      <c r="N142" s="45"/>
    </row>
    <row r="143" spans="1:14" s="47" customFormat="1" ht="34.950000000000003" customHeight="1" x14ac:dyDescent="0.45">
      <c r="A143" s="51"/>
      <c r="B143" s="45"/>
      <c r="C143" s="45"/>
      <c r="D143" s="48"/>
      <c r="E143" s="45"/>
      <c r="F143" s="45"/>
      <c r="G143" s="45"/>
      <c r="H143" s="45"/>
      <c r="I143" s="45"/>
      <c r="J143" s="45"/>
      <c r="K143" s="45"/>
      <c r="L143" s="45"/>
      <c r="M143" s="45"/>
      <c r="N143" s="45"/>
    </row>
    <row r="144" spans="1:14" s="47" customFormat="1" ht="34.950000000000003" customHeight="1" x14ac:dyDescent="0.45">
      <c r="A144" s="51"/>
      <c r="B144" s="45"/>
      <c r="C144" s="45"/>
      <c r="D144" s="48"/>
      <c r="E144" s="45"/>
      <c r="F144" s="45"/>
      <c r="G144" s="45"/>
      <c r="H144" s="45"/>
      <c r="I144" s="45"/>
      <c r="J144" s="45"/>
      <c r="K144" s="45"/>
      <c r="L144" s="45"/>
      <c r="M144" s="45"/>
      <c r="N144" s="45"/>
    </row>
    <row r="145" spans="1:14" s="47" customFormat="1" ht="34.950000000000003" customHeight="1" x14ac:dyDescent="0.45">
      <c r="A145" s="51"/>
      <c r="B145" s="45"/>
      <c r="C145" s="45"/>
      <c r="D145" s="48"/>
      <c r="E145" s="45"/>
      <c r="F145" s="45"/>
      <c r="G145" s="45"/>
      <c r="H145" s="45"/>
      <c r="I145" s="45"/>
      <c r="J145" s="45"/>
      <c r="K145" s="45"/>
      <c r="L145" s="45"/>
      <c r="M145" s="45"/>
      <c r="N145" s="45"/>
    </row>
    <row r="146" spans="1:14" s="47" customFormat="1" ht="34.950000000000003" customHeight="1" x14ac:dyDescent="0.45">
      <c r="A146" s="51"/>
      <c r="B146" s="45"/>
      <c r="C146" s="45"/>
      <c r="D146" s="48"/>
      <c r="E146" s="45"/>
      <c r="F146" s="45"/>
      <c r="G146" s="45"/>
      <c r="H146" s="45"/>
      <c r="I146" s="45"/>
      <c r="J146" s="45"/>
      <c r="K146" s="45"/>
      <c r="L146" s="45"/>
      <c r="M146" s="45"/>
      <c r="N146" s="45"/>
    </row>
    <row r="147" spans="1:14" s="47" customFormat="1" ht="34.950000000000003" customHeight="1" x14ac:dyDescent="0.45">
      <c r="A147" s="51"/>
      <c r="B147" s="45"/>
      <c r="C147" s="45"/>
      <c r="D147" s="48"/>
      <c r="E147" s="45"/>
      <c r="F147" s="45"/>
      <c r="G147" s="45"/>
      <c r="H147" s="45"/>
      <c r="I147" s="45"/>
      <c r="J147" s="45"/>
      <c r="K147" s="45"/>
      <c r="L147" s="45"/>
      <c r="M147" s="45"/>
      <c r="N147" s="45"/>
    </row>
    <row r="148" spans="1:14" s="47" customFormat="1" ht="34.950000000000003" customHeight="1" x14ac:dyDescent="0.45">
      <c r="A148" s="51"/>
      <c r="B148" s="45"/>
      <c r="C148" s="45"/>
      <c r="D148" s="48"/>
      <c r="E148" s="45"/>
      <c r="F148" s="45"/>
      <c r="G148" s="45"/>
      <c r="H148" s="45"/>
      <c r="I148" s="45"/>
      <c r="J148" s="45"/>
      <c r="K148" s="45"/>
      <c r="L148" s="45"/>
      <c r="M148" s="45"/>
      <c r="N148" s="45"/>
    </row>
    <row r="149" spans="1:14" s="47" customFormat="1" ht="34.950000000000003" customHeight="1" x14ac:dyDescent="0.45">
      <c r="A149" s="51"/>
      <c r="B149" s="45"/>
      <c r="C149" s="45"/>
      <c r="D149" s="48"/>
      <c r="E149" s="45"/>
      <c r="F149" s="45"/>
      <c r="G149" s="45"/>
      <c r="H149" s="45"/>
      <c r="I149" s="45"/>
      <c r="J149" s="45"/>
      <c r="K149" s="45"/>
      <c r="L149" s="45"/>
      <c r="M149" s="45"/>
      <c r="N149" s="45"/>
    </row>
    <row r="150" spans="1:14" s="47" customFormat="1" ht="34.950000000000003" customHeight="1" x14ac:dyDescent="0.45">
      <c r="A150" s="51"/>
      <c r="B150" s="45"/>
      <c r="C150" s="45"/>
      <c r="D150" s="48"/>
      <c r="E150" s="45"/>
      <c r="F150" s="45"/>
      <c r="G150" s="45"/>
      <c r="H150" s="45"/>
      <c r="I150" s="45"/>
      <c r="J150" s="45"/>
      <c r="K150" s="45"/>
      <c r="L150" s="45"/>
      <c r="M150" s="45"/>
      <c r="N150" s="45"/>
    </row>
    <row r="151" spans="1:14" s="47" customFormat="1" ht="34.950000000000003" customHeight="1" x14ac:dyDescent="0.45">
      <c r="A151" s="51"/>
      <c r="B151" s="45"/>
      <c r="C151" s="45"/>
      <c r="D151" s="48"/>
      <c r="E151" s="45"/>
      <c r="F151" s="45"/>
      <c r="G151" s="45"/>
      <c r="H151" s="45"/>
      <c r="I151" s="45"/>
      <c r="J151" s="45"/>
      <c r="K151" s="45"/>
      <c r="L151" s="45"/>
      <c r="M151" s="45"/>
      <c r="N151" s="45"/>
    </row>
    <row r="152" spans="1:14" s="47" customFormat="1" ht="34.950000000000003" customHeight="1" x14ac:dyDescent="0.45">
      <c r="A152" s="51"/>
      <c r="B152" s="45"/>
      <c r="C152" s="45"/>
      <c r="D152" s="48"/>
      <c r="E152" s="45"/>
      <c r="F152" s="45"/>
      <c r="G152" s="45"/>
      <c r="H152" s="45"/>
      <c r="I152" s="45"/>
      <c r="J152" s="45"/>
      <c r="K152" s="45"/>
      <c r="L152" s="45"/>
      <c r="M152" s="45"/>
      <c r="N152" s="45"/>
    </row>
    <row r="153" spans="1:14" s="47" customFormat="1" ht="34.950000000000003" customHeight="1" x14ac:dyDescent="0.45">
      <c r="A153" s="51"/>
      <c r="B153" s="45"/>
      <c r="C153" s="45"/>
      <c r="D153" s="48"/>
      <c r="E153" s="45"/>
      <c r="F153" s="45"/>
      <c r="G153" s="45"/>
      <c r="H153" s="45"/>
      <c r="I153" s="45"/>
      <c r="J153" s="45"/>
      <c r="K153" s="45"/>
      <c r="L153" s="45"/>
      <c r="M153" s="45"/>
      <c r="N153" s="45"/>
    </row>
    <row r="154" spans="1:14" s="47" customFormat="1" ht="34.950000000000003" customHeight="1" x14ac:dyDescent="0.45">
      <c r="A154" s="51"/>
      <c r="B154" s="45"/>
      <c r="C154" s="45"/>
      <c r="D154" s="48"/>
      <c r="E154" s="45"/>
      <c r="F154" s="45"/>
      <c r="G154" s="45"/>
      <c r="H154" s="45"/>
      <c r="I154" s="45"/>
      <c r="J154" s="45"/>
      <c r="K154" s="45"/>
      <c r="L154" s="45"/>
      <c r="M154" s="45"/>
      <c r="N154" s="45"/>
    </row>
    <row r="155" spans="1:14" s="47" customFormat="1" ht="34.950000000000003" customHeight="1" x14ac:dyDescent="0.45">
      <c r="A155" s="51"/>
      <c r="B155" s="45"/>
      <c r="C155" s="45"/>
      <c r="D155" s="48"/>
      <c r="E155" s="45"/>
      <c r="F155" s="45"/>
      <c r="G155" s="45"/>
      <c r="H155" s="45"/>
      <c r="I155" s="45"/>
      <c r="J155" s="45"/>
      <c r="K155" s="45"/>
      <c r="L155" s="45"/>
      <c r="M155" s="45"/>
      <c r="N155" s="45"/>
    </row>
    <row r="156" spans="1:14" s="47" customFormat="1" ht="34.950000000000003" customHeight="1" x14ac:dyDescent="0.45">
      <c r="A156" s="51"/>
      <c r="B156" s="45"/>
      <c r="C156" s="45"/>
      <c r="D156" s="48"/>
      <c r="E156" s="45"/>
      <c r="F156" s="45"/>
      <c r="G156" s="45"/>
      <c r="H156" s="45"/>
      <c r="I156" s="45"/>
      <c r="J156" s="45"/>
      <c r="K156" s="45"/>
      <c r="L156" s="45"/>
      <c r="M156" s="45"/>
      <c r="N156" s="45"/>
    </row>
    <row r="157" spans="1:14" s="47" customFormat="1" ht="34.950000000000003" customHeight="1" x14ac:dyDescent="0.45">
      <c r="A157" s="51"/>
      <c r="B157" s="45"/>
      <c r="C157" s="45"/>
      <c r="D157" s="48"/>
      <c r="E157" s="45"/>
      <c r="F157" s="45"/>
      <c r="G157" s="45"/>
      <c r="H157" s="45"/>
      <c r="I157" s="45"/>
      <c r="J157" s="45"/>
      <c r="K157" s="45"/>
      <c r="L157" s="45"/>
      <c r="M157" s="45"/>
      <c r="N157" s="45"/>
    </row>
    <row r="158" spans="1:14" s="47" customFormat="1" ht="34.950000000000003" customHeight="1" x14ac:dyDescent="0.45">
      <c r="A158" s="51"/>
      <c r="B158" s="45"/>
      <c r="C158" s="45"/>
      <c r="D158" s="48"/>
      <c r="E158" s="45"/>
      <c r="F158" s="45"/>
      <c r="G158" s="45"/>
      <c r="H158" s="45"/>
      <c r="I158" s="45"/>
      <c r="J158" s="45"/>
      <c r="K158" s="45"/>
      <c r="L158" s="45"/>
      <c r="M158" s="45"/>
      <c r="N158" s="45"/>
    </row>
    <row r="159" spans="1:14" s="47" customFormat="1" ht="34.950000000000003" customHeight="1" x14ac:dyDescent="0.45">
      <c r="A159" s="51"/>
      <c r="B159" s="45"/>
      <c r="C159" s="45"/>
      <c r="D159" s="48"/>
      <c r="E159" s="45"/>
      <c r="F159" s="45"/>
      <c r="G159" s="45"/>
      <c r="H159" s="45"/>
      <c r="I159" s="45"/>
      <c r="J159" s="45"/>
      <c r="K159" s="45"/>
      <c r="L159" s="45"/>
      <c r="M159" s="45"/>
      <c r="N159" s="45"/>
    </row>
    <row r="160" spans="1:14" s="47" customFormat="1" ht="34.950000000000003" customHeight="1" x14ac:dyDescent="0.45">
      <c r="A160" s="51"/>
      <c r="B160" s="45"/>
      <c r="C160" s="45"/>
      <c r="D160" s="48"/>
      <c r="E160" s="45"/>
      <c r="F160" s="45"/>
      <c r="G160" s="45"/>
      <c r="H160" s="45"/>
      <c r="I160" s="45"/>
      <c r="J160" s="45"/>
      <c r="K160" s="45"/>
      <c r="L160" s="45"/>
      <c r="M160" s="45"/>
      <c r="N160" s="45"/>
    </row>
    <row r="161" spans="1:14" s="47" customFormat="1" ht="34.950000000000003" customHeight="1" x14ac:dyDescent="0.45">
      <c r="A161" s="51"/>
      <c r="B161" s="45"/>
      <c r="C161" s="45"/>
      <c r="D161" s="48"/>
      <c r="E161" s="45"/>
      <c r="F161" s="45"/>
      <c r="G161" s="45"/>
      <c r="H161" s="45"/>
      <c r="I161" s="45"/>
      <c r="J161" s="45"/>
      <c r="K161" s="45"/>
      <c r="L161" s="45"/>
      <c r="M161" s="45"/>
      <c r="N161" s="45"/>
    </row>
    <row r="162" spans="1:14" s="47" customFormat="1" ht="34.950000000000003" customHeight="1" x14ac:dyDescent="0.45">
      <c r="A162" s="51"/>
      <c r="B162" s="45"/>
      <c r="C162" s="45"/>
      <c r="D162" s="48"/>
      <c r="E162" s="45"/>
      <c r="F162" s="45"/>
      <c r="G162" s="45"/>
      <c r="H162" s="45"/>
      <c r="I162" s="45"/>
      <c r="J162" s="45"/>
      <c r="K162" s="45"/>
      <c r="L162" s="45"/>
      <c r="M162" s="45"/>
      <c r="N162" s="45"/>
    </row>
    <row r="163" spans="1:14" s="47" customFormat="1" ht="34.950000000000003" customHeight="1" x14ac:dyDescent="0.45">
      <c r="A163" s="51"/>
      <c r="B163" s="45"/>
      <c r="C163" s="45"/>
      <c r="D163" s="48"/>
      <c r="E163" s="45"/>
      <c r="F163" s="45"/>
      <c r="G163" s="45"/>
      <c r="H163" s="45"/>
      <c r="I163" s="45"/>
      <c r="J163" s="45"/>
      <c r="K163" s="45"/>
      <c r="L163" s="45"/>
      <c r="M163" s="45"/>
      <c r="N163" s="45"/>
    </row>
    <row r="164" spans="1:14" s="47" customFormat="1" ht="34.950000000000003" customHeight="1" x14ac:dyDescent="0.45">
      <c r="A164" s="51"/>
      <c r="B164" s="45"/>
      <c r="C164" s="45"/>
      <c r="D164" s="48"/>
      <c r="E164" s="45"/>
      <c r="F164" s="45"/>
      <c r="G164" s="45"/>
      <c r="H164" s="45"/>
      <c r="I164" s="45"/>
      <c r="J164" s="45"/>
      <c r="K164" s="45"/>
      <c r="L164" s="45"/>
      <c r="M164" s="45"/>
      <c r="N164" s="45"/>
    </row>
    <row r="165" spans="1:14" s="47" customFormat="1" ht="34.950000000000003" customHeight="1" x14ac:dyDescent="0.45">
      <c r="A165" s="51"/>
      <c r="B165" s="45"/>
      <c r="C165" s="45"/>
      <c r="D165" s="48"/>
      <c r="E165" s="45"/>
      <c r="F165" s="45"/>
      <c r="G165" s="45"/>
      <c r="H165" s="45"/>
      <c r="I165" s="45"/>
      <c r="J165" s="45"/>
      <c r="K165" s="45"/>
      <c r="L165" s="45"/>
      <c r="M165" s="45"/>
      <c r="N165" s="45"/>
    </row>
    <row r="166" spans="1:14" s="47" customFormat="1" ht="34.950000000000003" customHeight="1" x14ac:dyDescent="0.45">
      <c r="A166" s="51"/>
      <c r="B166" s="45"/>
      <c r="C166" s="45"/>
      <c r="D166" s="48"/>
      <c r="E166" s="45"/>
      <c r="F166" s="45"/>
      <c r="G166" s="45"/>
      <c r="H166" s="45"/>
      <c r="I166" s="45"/>
      <c r="J166" s="45"/>
      <c r="K166" s="45"/>
      <c r="L166" s="45"/>
      <c r="M166" s="45"/>
      <c r="N166" s="45"/>
    </row>
    <row r="167" spans="1:14" s="47" customFormat="1" ht="34.950000000000003" customHeight="1" x14ac:dyDescent="0.45">
      <c r="A167" s="51"/>
      <c r="B167" s="45"/>
      <c r="C167" s="45"/>
      <c r="D167" s="48"/>
      <c r="E167" s="45"/>
      <c r="F167" s="45"/>
      <c r="G167" s="45"/>
      <c r="H167" s="45"/>
      <c r="I167" s="45"/>
      <c r="J167" s="45"/>
      <c r="K167" s="45"/>
      <c r="L167" s="45"/>
      <c r="M167" s="45"/>
      <c r="N167" s="45"/>
    </row>
    <row r="168" spans="1:14" s="47" customFormat="1" ht="34.950000000000003" customHeight="1" x14ac:dyDescent="0.45">
      <c r="A168" s="51"/>
      <c r="B168" s="45"/>
      <c r="C168" s="45"/>
      <c r="D168" s="48"/>
      <c r="E168" s="45"/>
      <c r="F168" s="45"/>
      <c r="G168" s="45"/>
      <c r="H168" s="45"/>
      <c r="I168" s="45"/>
      <c r="J168" s="45"/>
      <c r="K168" s="45"/>
      <c r="L168" s="45"/>
      <c r="M168" s="45"/>
      <c r="N168" s="45"/>
    </row>
    <row r="169" spans="1:14" s="47" customFormat="1" ht="34.950000000000003" customHeight="1" x14ac:dyDescent="0.45">
      <c r="A169" s="51"/>
      <c r="B169" s="45"/>
      <c r="C169" s="45"/>
      <c r="D169" s="48"/>
      <c r="E169" s="45"/>
      <c r="F169" s="45"/>
      <c r="G169" s="45"/>
      <c r="H169" s="45"/>
      <c r="I169" s="45"/>
      <c r="J169" s="45"/>
      <c r="K169" s="45"/>
      <c r="L169" s="45"/>
      <c r="M169" s="45"/>
      <c r="N169" s="45"/>
    </row>
    <row r="170" spans="1:14" s="47" customFormat="1" ht="34.950000000000003" customHeight="1" x14ac:dyDescent="0.45">
      <c r="A170" s="51"/>
      <c r="B170" s="45"/>
      <c r="C170" s="45"/>
      <c r="D170" s="48"/>
      <c r="E170" s="45"/>
      <c r="F170" s="45"/>
      <c r="G170" s="45"/>
      <c r="H170" s="45"/>
      <c r="I170" s="45"/>
      <c r="J170" s="45"/>
      <c r="K170" s="45"/>
      <c r="L170" s="45"/>
      <c r="M170" s="45"/>
      <c r="N170" s="45"/>
    </row>
    <row r="171" spans="1:14" s="47" customFormat="1" ht="34.950000000000003" customHeight="1" x14ac:dyDescent="0.45">
      <c r="A171" s="51"/>
      <c r="B171" s="45"/>
      <c r="C171" s="45"/>
      <c r="D171" s="48"/>
      <c r="E171" s="45"/>
      <c r="F171" s="45"/>
      <c r="G171" s="45"/>
      <c r="H171" s="45"/>
      <c r="I171" s="45"/>
      <c r="J171" s="45"/>
      <c r="K171" s="45"/>
      <c r="L171" s="45"/>
      <c r="M171" s="45"/>
      <c r="N171" s="45"/>
    </row>
    <row r="172" spans="1:14" s="47" customFormat="1" ht="34.950000000000003" customHeight="1" x14ac:dyDescent="0.45">
      <c r="A172" s="51"/>
      <c r="B172" s="45"/>
      <c r="C172" s="45"/>
      <c r="D172" s="48"/>
      <c r="E172" s="45"/>
      <c r="F172" s="45"/>
      <c r="G172" s="45"/>
      <c r="H172" s="45"/>
      <c r="I172" s="45"/>
      <c r="J172" s="45"/>
      <c r="K172" s="45"/>
      <c r="L172" s="45"/>
      <c r="M172" s="45"/>
      <c r="N172" s="45"/>
    </row>
    <row r="173" spans="1:14" s="47" customFormat="1" ht="34.950000000000003" customHeight="1" x14ac:dyDescent="0.45">
      <c r="A173" s="51"/>
      <c r="B173" s="45"/>
      <c r="C173" s="45"/>
      <c r="D173" s="48"/>
      <c r="E173" s="45"/>
      <c r="F173" s="45"/>
      <c r="G173" s="45"/>
      <c r="H173" s="45"/>
      <c r="I173" s="45"/>
      <c r="J173" s="45"/>
      <c r="K173" s="45"/>
      <c r="L173" s="45"/>
      <c r="M173" s="45"/>
      <c r="N173" s="45"/>
    </row>
    <row r="174" spans="1:14" s="47" customFormat="1" ht="34.950000000000003" customHeight="1" x14ac:dyDescent="0.45">
      <c r="A174" s="51"/>
      <c r="B174" s="45"/>
      <c r="C174" s="45"/>
      <c r="D174" s="48"/>
      <c r="E174" s="45"/>
      <c r="F174" s="45"/>
      <c r="G174" s="45"/>
      <c r="H174" s="45"/>
      <c r="I174" s="45"/>
      <c r="J174" s="45"/>
      <c r="K174" s="45"/>
      <c r="L174" s="45"/>
      <c r="M174" s="45"/>
      <c r="N174" s="45"/>
    </row>
    <row r="175" spans="1:14" s="47" customFormat="1" ht="34.950000000000003" customHeight="1" x14ac:dyDescent="0.45">
      <c r="A175" s="51"/>
      <c r="B175" s="45"/>
      <c r="C175" s="45"/>
      <c r="D175" s="48"/>
      <c r="E175" s="45"/>
      <c r="F175" s="45"/>
      <c r="G175" s="45"/>
      <c r="H175" s="45"/>
      <c r="I175" s="45"/>
      <c r="J175" s="45"/>
      <c r="K175" s="45"/>
      <c r="L175" s="45"/>
      <c r="M175" s="45"/>
      <c r="N175" s="45"/>
    </row>
    <row r="176" spans="1:14" s="47" customFormat="1" ht="34.950000000000003" customHeight="1" x14ac:dyDescent="0.45">
      <c r="A176" s="51"/>
      <c r="B176" s="45"/>
      <c r="C176" s="45"/>
      <c r="D176" s="48"/>
      <c r="E176" s="45"/>
      <c r="F176" s="45"/>
      <c r="G176" s="45"/>
      <c r="H176" s="45"/>
      <c r="I176" s="45"/>
      <c r="J176" s="45"/>
      <c r="K176" s="45"/>
      <c r="L176" s="45"/>
      <c r="M176" s="45"/>
      <c r="N176" s="45"/>
    </row>
    <row r="177" spans="1:14" s="47" customFormat="1" ht="34.950000000000003" customHeight="1" x14ac:dyDescent="0.45">
      <c r="A177" s="51"/>
      <c r="B177" s="45"/>
      <c r="C177" s="45"/>
      <c r="D177" s="48"/>
      <c r="E177" s="45"/>
      <c r="F177" s="45"/>
      <c r="G177" s="45"/>
      <c r="H177" s="45"/>
      <c r="I177" s="45"/>
      <c r="J177" s="45"/>
      <c r="K177" s="45"/>
      <c r="L177" s="45"/>
      <c r="M177" s="45"/>
      <c r="N177" s="45"/>
    </row>
    <row r="178" spans="1:14" s="47" customFormat="1" ht="34.950000000000003" customHeight="1" x14ac:dyDescent="0.45">
      <c r="A178" s="51"/>
      <c r="B178" s="45"/>
      <c r="C178" s="45"/>
      <c r="D178" s="48"/>
      <c r="E178" s="45"/>
      <c r="F178" s="45"/>
      <c r="G178" s="45"/>
      <c r="H178" s="45"/>
      <c r="I178" s="45"/>
      <c r="J178" s="45"/>
      <c r="K178" s="45"/>
      <c r="L178" s="45"/>
      <c r="M178" s="45"/>
      <c r="N178" s="45"/>
    </row>
    <row r="179" spans="1:14" s="47" customFormat="1" ht="34.950000000000003" customHeight="1" x14ac:dyDescent="0.45">
      <c r="A179" s="51"/>
      <c r="B179" s="45"/>
      <c r="C179" s="45"/>
      <c r="D179" s="48"/>
      <c r="E179" s="45"/>
      <c r="F179" s="45"/>
      <c r="G179" s="45"/>
      <c r="H179" s="45"/>
      <c r="I179" s="45"/>
      <c r="J179" s="45"/>
      <c r="K179" s="45"/>
      <c r="L179" s="45"/>
      <c r="M179" s="45"/>
      <c r="N179" s="45"/>
    </row>
    <row r="180" spans="1:14" s="47" customFormat="1" ht="34.950000000000003" customHeight="1" x14ac:dyDescent="0.45">
      <c r="A180" s="51"/>
      <c r="B180" s="45"/>
      <c r="C180" s="45"/>
      <c r="D180" s="48"/>
      <c r="E180" s="45"/>
      <c r="F180" s="45"/>
      <c r="G180" s="45"/>
      <c r="H180" s="45"/>
      <c r="I180" s="45"/>
      <c r="J180" s="45"/>
      <c r="K180" s="45"/>
      <c r="L180" s="45"/>
      <c r="M180" s="45"/>
      <c r="N180" s="45"/>
    </row>
    <row r="181" spans="1:14" s="47" customFormat="1" ht="34.950000000000003" customHeight="1" x14ac:dyDescent="0.45">
      <c r="A181" s="51"/>
      <c r="B181" s="45"/>
      <c r="C181" s="45"/>
      <c r="D181" s="48"/>
      <c r="E181" s="45"/>
      <c r="F181" s="45"/>
      <c r="G181" s="45"/>
      <c r="H181" s="45"/>
      <c r="I181" s="45"/>
      <c r="J181" s="45"/>
      <c r="K181" s="45"/>
      <c r="L181" s="45"/>
      <c r="M181" s="45"/>
      <c r="N181" s="45"/>
    </row>
    <row r="182" spans="1:14" s="47" customFormat="1" ht="34.950000000000003" customHeight="1" x14ac:dyDescent="0.45">
      <c r="A182" s="51"/>
      <c r="B182" s="45"/>
      <c r="C182" s="45"/>
      <c r="D182" s="48"/>
      <c r="E182" s="45"/>
      <c r="F182" s="45"/>
      <c r="G182" s="45"/>
      <c r="H182" s="45"/>
      <c r="I182" s="45"/>
      <c r="J182" s="45"/>
      <c r="K182" s="45"/>
      <c r="L182" s="45"/>
      <c r="M182" s="45"/>
      <c r="N182" s="45"/>
    </row>
    <row r="183" spans="1:14" s="47" customFormat="1" ht="34.950000000000003" customHeight="1" x14ac:dyDescent="0.45">
      <c r="A183" s="51"/>
      <c r="B183" s="45"/>
      <c r="C183" s="45"/>
      <c r="D183" s="48"/>
      <c r="E183" s="45"/>
      <c r="F183" s="45"/>
      <c r="G183" s="45"/>
      <c r="H183" s="45"/>
      <c r="I183" s="45"/>
      <c r="J183" s="45"/>
      <c r="K183" s="45"/>
      <c r="L183" s="45"/>
      <c r="M183" s="45"/>
      <c r="N183" s="45"/>
    </row>
    <row r="184" spans="1:14" s="47" customFormat="1" ht="34.950000000000003" customHeight="1" x14ac:dyDescent="0.45">
      <c r="A184" s="51"/>
      <c r="B184" s="45"/>
      <c r="C184" s="45"/>
      <c r="D184" s="48"/>
      <c r="E184" s="45"/>
      <c r="F184" s="45"/>
      <c r="G184" s="45"/>
      <c r="H184" s="45"/>
      <c r="I184" s="45"/>
      <c r="J184" s="45"/>
      <c r="K184" s="45"/>
      <c r="L184" s="45"/>
      <c r="M184" s="45"/>
      <c r="N184" s="45"/>
    </row>
    <row r="185" spans="1:14" s="47" customFormat="1" ht="34.950000000000003" customHeight="1" x14ac:dyDescent="0.45">
      <c r="A185" s="51"/>
      <c r="B185" s="45"/>
      <c r="C185" s="45"/>
      <c r="D185" s="48"/>
      <c r="E185" s="45"/>
      <c r="F185" s="45"/>
      <c r="G185" s="45"/>
      <c r="H185" s="45"/>
      <c r="I185" s="45"/>
      <c r="J185" s="45"/>
      <c r="K185" s="45"/>
      <c r="L185" s="45"/>
      <c r="M185" s="45"/>
      <c r="N185" s="45"/>
    </row>
    <row r="186" spans="1:14" s="47" customFormat="1" ht="34.950000000000003" customHeight="1" x14ac:dyDescent="0.45">
      <c r="A186" s="51"/>
      <c r="B186" s="45"/>
      <c r="C186" s="45"/>
      <c r="D186" s="48"/>
      <c r="E186" s="45"/>
      <c r="F186" s="45"/>
      <c r="G186" s="45"/>
      <c r="H186" s="45"/>
      <c r="I186" s="45"/>
      <c r="J186" s="45"/>
      <c r="K186" s="45"/>
      <c r="L186" s="45"/>
      <c r="M186" s="45"/>
      <c r="N186" s="45"/>
    </row>
    <row r="187" spans="1:14" s="47" customFormat="1" ht="34.950000000000003" customHeight="1" x14ac:dyDescent="0.45">
      <c r="A187" s="51"/>
      <c r="B187" s="45"/>
      <c r="C187" s="45"/>
      <c r="D187" s="48"/>
      <c r="E187" s="45"/>
      <c r="F187" s="45"/>
      <c r="G187" s="45"/>
      <c r="H187" s="45"/>
      <c r="I187" s="45"/>
      <c r="J187" s="45"/>
      <c r="K187" s="45"/>
      <c r="L187" s="45"/>
      <c r="M187" s="45"/>
      <c r="N187" s="45"/>
    </row>
    <row r="188" spans="1:14" s="47" customFormat="1" ht="34.950000000000003" customHeight="1" x14ac:dyDescent="0.45">
      <c r="A188" s="51"/>
      <c r="B188" s="45"/>
      <c r="C188" s="45"/>
      <c r="D188" s="48"/>
      <c r="E188" s="45"/>
      <c r="F188" s="45"/>
      <c r="G188" s="45"/>
      <c r="H188" s="45"/>
      <c r="I188" s="45"/>
      <c r="J188" s="45"/>
      <c r="K188" s="45"/>
      <c r="L188" s="45"/>
      <c r="M188" s="45"/>
      <c r="N188" s="45"/>
    </row>
    <row r="189" spans="1:14" s="47" customFormat="1" ht="34.950000000000003" customHeight="1" x14ac:dyDescent="0.45">
      <c r="A189" s="51"/>
      <c r="B189" s="45"/>
      <c r="C189" s="45"/>
      <c r="D189" s="48"/>
      <c r="E189" s="45"/>
      <c r="F189" s="45"/>
      <c r="G189" s="45"/>
      <c r="H189" s="45"/>
      <c r="I189" s="45"/>
      <c r="J189" s="45"/>
      <c r="K189" s="45"/>
      <c r="L189" s="45"/>
      <c r="M189" s="45"/>
      <c r="N189" s="45"/>
    </row>
    <row r="190" spans="1:14" s="47" customFormat="1" ht="34.950000000000003" customHeight="1" x14ac:dyDescent="0.45">
      <c r="A190" s="51"/>
      <c r="B190" s="45"/>
      <c r="C190" s="45"/>
      <c r="D190" s="48"/>
      <c r="E190" s="45"/>
      <c r="F190" s="45"/>
      <c r="G190" s="45"/>
      <c r="H190" s="45"/>
      <c r="I190" s="45"/>
      <c r="J190" s="45"/>
      <c r="K190" s="45"/>
      <c r="L190" s="45"/>
      <c r="M190" s="45"/>
      <c r="N190" s="45"/>
    </row>
    <row r="191" spans="1:14" s="47" customFormat="1" ht="34.950000000000003" customHeight="1" x14ac:dyDescent="0.45">
      <c r="A191" s="51"/>
      <c r="B191" s="45"/>
      <c r="C191" s="45"/>
      <c r="D191" s="48"/>
      <c r="E191" s="45"/>
      <c r="F191" s="45"/>
      <c r="G191" s="45"/>
      <c r="H191" s="45"/>
      <c r="I191" s="45"/>
      <c r="J191" s="45"/>
      <c r="K191" s="45"/>
      <c r="L191" s="45"/>
      <c r="M191" s="45"/>
      <c r="N191" s="45"/>
    </row>
    <row r="192" spans="1:14" s="47" customFormat="1" ht="34.950000000000003" customHeight="1" x14ac:dyDescent="0.45">
      <c r="A192" s="51"/>
      <c r="B192" s="45"/>
      <c r="C192" s="45"/>
      <c r="D192" s="48"/>
      <c r="E192" s="45"/>
      <c r="F192" s="45"/>
      <c r="G192" s="45"/>
      <c r="H192" s="45"/>
      <c r="I192" s="45"/>
      <c r="J192" s="45"/>
      <c r="K192" s="45"/>
      <c r="L192" s="45"/>
      <c r="M192" s="45"/>
      <c r="N192" s="45"/>
    </row>
    <row r="193" spans="1:14" s="46" customFormat="1" ht="34.950000000000003" customHeight="1" x14ac:dyDescent="0.4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</row>
    <row r="194" spans="1:14" s="47" customFormat="1" ht="34.950000000000003" customHeight="1" x14ac:dyDescent="0.45">
      <c r="A194" s="51"/>
      <c r="B194" s="45"/>
      <c r="C194" s="45"/>
      <c r="D194" s="48"/>
      <c r="E194" s="45"/>
      <c r="F194" s="45"/>
      <c r="G194" s="45"/>
      <c r="H194" s="45"/>
      <c r="I194" s="45"/>
      <c r="J194" s="45"/>
      <c r="K194" s="45"/>
      <c r="L194" s="45"/>
      <c r="M194" s="45"/>
      <c r="N194" s="45"/>
    </row>
    <row r="195" spans="1:14" s="47" customFormat="1" ht="34.950000000000003" customHeight="1" x14ac:dyDescent="0.45">
      <c r="A195" s="51"/>
      <c r="B195" s="45"/>
      <c r="C195" s="45"/>
      <c r="D195" s="48"/>
      <c r="E195" s="45"/>
      <c r="F195" s="45"/>
      <c r="G195" s="45"/>
      <c r="H195" s="45"/>
      <c r="I195" s="45"/>
      <c r="J195" s="45"/>
      <c r="K195" s="45"/>
      <c r="L195" s="45"/>
      <c r="M195" s="45"/>
      <c r="N195" s="45"/>
    </row>
    <row r="196" spans="1:14" s="47" customFormat="1" ht="34.950000000000003" customHeight="1" x14ac:dyDescent="0.45">
      <c r="A196" s="51"/>
      <c r="B196" s="45"/>
      <c r="C196" s="45"/>
      <c r="D196" s="48"/>
      <c r="E196" s="45"/>
      <c r="F196" s="45"/>
      <c r="G196" s="45"/>
      <c r="H196" s="45"/>
      <c r="I196" s="45"/>
      <c r="J196" s="45"/>
      <c r="K196" s="45"/>
      <c r="L196" s="45"/>
      <c r="M196" s="45"/>
      <c r="N196" s="45"/>
    </row>
    <row r="197" spans="1:14" s="47" customFormat="1" ht="34.950000000000003" customHeight="1" x14ac:dyDescent="0.45">
      <c r="A197" s="51"/>
      <c r="B197" s="45"/>
      <c r="C197" s="45"/>
      <c r="D197" s="48"/>
      <c r="E197" s="45"/>
      <c r="F197" s="45"/>
      <c r="G197" s="45"/>
      <c r="H197" s="45"/>
      <c r="I197" s="45"/>
      <c r="J197" s="45"/>
      <c r="K197" s="45"/>
      <c r="L197" s="45"/>
      <c r="M197" s="45"/>
      <c r="N197" s="45"/>
    </row>
    <row r="198" spans="1:14" s="47" customFormat="1" ht="34.950000000000003" customHeight="1" x14ac:dyDescent="0.45">
      <c r="A198" s="51"/>
      <c r="B198" s="45"/>
      <c r="C198" s="45"/>
      <c r="D198" s="48"/>
      <c r="E198" s="45"/>
      <c r="F198" s="45"/>
      <c r="G198" s="45"/>
      <c r="H198" s="45"/>
      <c r="I198" s="45"/>
      <c r="J198" s="45"/>
      <c r="K198" s="45"/>
      <c r="L198" s="45"/>
      <c r="M198" s="45"/>
      <c r="N198" s="45"/>
    </row>
    <row r="199" spans="1:14" s="47" customFormat="1" ht="34.950000000000003" customHeight="1" x14ac:dyDescent="0.45">
      <c r="A199" s="51"/>
      <c r="B199" s="45"/>
      <c r="C199" s="45"/>
      <c r="D199" s="48"/>
      <c r="E199" s="45"/>
      <c r="F199" s="45"/>
      <c r="G199" s="45"/>
      <c r="H199" s="45"/>
      <c r="I199" s="45"/>
      <c r="J199" s="45"/>
      <c r="K199" s="45"/>
      <c r="L199" s="45"/>
      <c r="M199" s="45"/>
      <c r="N199" s="45"/>
    </row>
    <row r="200" spans="1:14" s="47" customFormat="1" ht="34.950000000000003" customHeight="1" x14ac:dyDescent="0.45">
      <c r="A200" s="51"/>
      <c r="B200" s="45"/>
      <c r="C200" s="45"/>
      <c r="D200" s="48"/>
      <c r="E200" s="45"/>
      <c r="F200" s="45"/>
      <c r="G200" s="45"/>
      <c r="H200" s="45"/>
      <c r="I200" s="45"/>
      <c r="J200" s="45"/>
      <c r="K200" s="45"/>
      <c r="L200" s="45"/>
      <c r="M200" s="45"/>
      <c r="N200" s="45"/>
    </row>
    <row r="201" spans="1:14" s="47" customFormat="1" ht="34.950000000000003" customHeight="1" x14ac:dyDescent="0.45">
      <c r="A201" s="51"/>
      <c r="B201" s="45"/>
      <c r="C201" s="45"/>
      <c r="D201" s="48"/>
      <c r="E201" s="45"/>
      <c r="F201" s="45"/>
      <c r="G201" s="45"/>
      <c r="H201" s="45"/>
      <c r="I201" s="45"/>
      <c r="J201" s="45"/>
      <c r="K201" s="45"/>
      <c r="L201" s="45"/>
      <c r="M201" s="45"/>
      <c r="N201" s="45"/>
    </row>
    <row r="202" spans="1:14" s="47" customFormat="1" ht="34.950000000000003" customHeight="1" x14ac:dyDescent="0.45">
      <c r="A202" s="51"/>
      <c r="B202" s="45"/>
      <c r="C202" s="45"/>
      <c r="D202" s="48"/>
      <c r="E202" s="45"/>
      <c r="F202" s="45"/>
      <c r="G202" s="45"/>
      <c r="H202" s="45"/>
      <c r="I202" s="45"/>
      <c r="J202" s="45"/>
      <c r="K202" s="45"/>
      <c r="L202" s="45"/>
      <c r="M202" s="45"/>
      <c r="N202" s="45"/>
    </row>
    <row r="203" spans="1:14" s="47" customFormat="1" ht="34.950000000000003" customHeight="1" x14ac:dyDescent="0.45">
      <c r="A203" s="51"/>
      <c r="B203" s="45"/>
      <c r="C203" s="45"/>
      <c r="D203" s="48"/>
      <c r="E203" s="45"/>
      <c r="F203" s="45"/>
      <c r="G203" s="45"/>
      <c r="H203" s="45"/>
      <c r="I203" s="45"/>
      <c r="J203" s="45"/>
      <c r="K203" s="45"/>
      <c r="L203" s="45"/>
      <c r="M203" s="45"/>
      <c r="N203" s="45"/>
    </row>
    <row r="204" spans="1:14" s="47" customFormat="1" ht="34.950000000000003" customHeight="1" x14ac:dyDescent="0.45">
      <c r="A204" s="51"/>
      <c r="B204" s="45"/>
      <c r="C204" s="45"/>
      <c r="D204" s="48"/>
      <c r="E204" s="45"/>
      <c r="F204" s="45"/>
      <c r="G204" s="45"/>
      <c r="H204" s="45"/>
      <c r="I204" s="45"/>
      <c r="J204" s="45"/>
      <c r="K204" s="45"/>
      <c r="L204" s="45"/>
      <c r="M204" s="45"/>
      <c r="N204" s="45"/>
    </row>
    <row r="205" spans="1:14" s="47" customFormat="1" ht="34.950000000000003" customHeight="1" x14ac:dyDescent="0.45">
      <c r="A205" s="51"/>
      <c r="B205" s="45"/>
      <c r="C205" s="45"/>
      <c r="D205" s="48"/>
      <c r="E205" s="45"/>
      <c r="F205" s="45"/>
      <c r="G205" s="45"/>
      <c r="H205" s="45"/>
      <c r="I205" s="45"/>
      <c r="J205" s="45"/>
      <c r="K205" s="45"/>
      <c r="L205" s="45"/>
      <c r="M205" s="45"/>
      <c r="N205" s="45"/>
    </row>
    <row r="206" spans="1:14" s="47" customFormat="1" ht="34.950000000000003" customHeight="1" x14ac:dyDescent="0.45">
      <c r="A206" s="51"/>
      <c r="B206" s="45"/>
      <c r="C206" s="45"/>
      <c r="D206" s="48"/>
      <c r="E206" s="45"/>
      <c r="F206" s="45"/>
      <c r="G206" s="45"/>
      <c r="H206" s="45"/>
      <c r="I206" s="45"/>
      <c r="J206" s="45"/>
      <c r="K206" s="45"/>
      <c r="L206" s="45"/>
      <c r="M206" s="45"/>
      <c r="N206" s="45"/>
    </row>
    <row r="207" spans="1:14" s="47" customFormat="1" ht="34.950000000000003" customHeight="1" x14ac:dyDescent="0.45">
      <c r="A207" s="51"/>
      <c r="B207" s="45"/>
      <c r="C207" s="45"/>
      <c r="D207" s="48"/>
      <c r="E207" s="45"/>
      <c r="F207" s="45"/>
      <c r="G207" s="45"/>
      <c r="H207" s="45"/>
      <c r="I207" s="45"/>
      <c r="J207" s="45"/>
      <c r="K207" s="45"/>
      <c r="L207" s="45"/>
      <c r="M207" s="45"/>
      <c r="N207" s="45"/>
    </row>
    <row r="208" spans="1:14" s="47" customFormat="1" ht="34.950000000000003" customHeight="1" x14ac:dyDescent="0.45">
      <c r="A208" s="51"/>
      <c r="B208" s="45"/>
      <c r="C208" s="45"/>
      <c r="D208" s="48"/>
      <c r="E208" s="45"/>
      <c r="F208" s="45"/>
      <c r="G208" s="45"/>
      <c r="H208" s="45"/>
      <c r="I208" s="45"/>
      <c r="J208" s="45"/>
      <c r="K208" s="45"/>
      <c r="L208" s="45"/>
      <c r="M208" s="45"/>
      <c r="N208" s="45"/>
    </row>
    <row r="209" spans="1:14" s="47" customFormat="1" ht="34.950000000000003" customHeight="1" x14ac:dyDescent="0.45">
      <c r="A209" s="51"/>
      <c r="B209" s="45"/>
      <c r="C209" s="45"/>
      <c r="D209" s="48"/>
      <c r="E209" s="45"/>
      <c r="F209" s="45"/>
      <c r="G209" s="45"/>
      <c r="H209" s="45"/>
      <c r="I209" s="45"/>
      <c r="J209" s="45"/>
      <c r="K209" s="45"/>
      <c r="L209" s="45"/>
      <c r="M209" s="45"/>
      <c r="N209" s="45"/>
    </row>
    <row r="210" spans="1:14" s="47" customFormat="1" ht="34.950000000000003" customHeight="1" x14ac:dyDescent="0.45">
      <c r="A210" s="51"/>
      <c r="B210" s="45"/>
      <c r="C210" s="45"/>
      <c r="D210" s="48"/>
      <c r="E210" s="45"/>
      <c r="F210" s="45"/>
      <c r="G210" s="45"/>
      <c r="H210" s="45"/>
      <c r="I210" s="45"/>
      <c r="J210" s="45"/>
      <c r="K210" s="45"/>
      <c r="L210" s="45"/>
      <c r="M210" s="45"/>
      <c r="N210" s="45"/>
    </row>
    <row r="211" spans="1:14" s="47" customFormat="1" ht="34.950000000000003" customHeight="1" x14ac:dyDescent="0.45">
      <c r="A211" s="51"/>
      <c r="B211" s="45"/>
      <c r="C211" s="45"/>
      <c r="D211" s="48"/>
      <c r="E211" s="45"/>
      <c r="F211" s="45"/>
      <c r="G211" s="45"/>
      <c r="H211" s="45"/>
      <c r="I211" s="45"/>
      <c r="J211" s="45"/>
      <c r="K211" s="45"/>
      <c r="L211" s="45"/>
      <c r="M211" s="45"/>
      <c r="N211" s="45"/>
    </row>
    <row r="212" spans="1:14" s="47" customFormat="1" ht="34.950000000000003" customHeight="1" x14ac:dyDescent="0.45">
      <c r="A212" s="51"/>
      <c r="B212" s="45"/>
      <c r="C212" s="45"/>
      <c r="D212" s="48"/>
      <c r="E212" s="45"/>
      <c r="F212" s="45"/>
      <c r="G212" s="45"/>
      <c r="H212" s="45"/>
      <c r="I212" s="45"/>
      <c r="J212" s="45"/>
      <c r="K212" s="45"/>
      <c r="L212" s="45"/>
      <c r="M212" s="45"/>
      <c r="N212" s="45"/>
    </row>
    <row r="213" spans="1:14" s="47" customFormat="1" ht="34.950000000000003" customHeight="1" x14ac:dyDescent="0.45">
      <c r="A213" s="51"/>
      <c r="B213" s="45"/>
      <c r="C213" s="45"/>
      <c r="D213" s="48"/>
      <c r="E213" s="45"/>
      <c r="F213" s="45"/>
      <c r="G213" s="45"/>
      <c r="H213" s="45"/>
      <c r="I213" s="45"/>
      <c r="J213" s="45"/>
      <c r="K213" s="45"/>
      <c r="L213" s="45"/>
      <c r="M213" s="45"/>
      <c r="N213" s="45"/>
    </row>
    <row r="214" spans="1:14" s="47" customFormat="1" ht="34.950000000000003" customHeight="1" x14ac:dyDescent="0.45">
      <c r="A214" s="51"/>
      <c r="B214" s="45"/>
      <c r="C214" s="45"/>
      <c r="D214" s="48"/>
      <c r="E214" s="45"/>
      <c r="F214" s="45"/>
      <c r="G214" s="45"/>
      <c r="H214" s="45"/>
      <c r="I214" s="45"/>
      <c r="J214" s="45"/>
      <c r="K214" s="45"/>
      <c r="L214" s="45"/>
      <c r="M214" s="45"/>
      <c r="N214" s="45"/>
    </row>
    <row r="215" spans="1:14" s="47" customFormat="1" ht="34.950000000000003" customHeight="1" x14ac:dyDescent="0.45">
      <c r="A215" s="51"/>
      <c r="B215" s="45"/>
      <c r="C215" s="45"/>
      <c r="D215" s="48"/>
      <c r="E215" s="45"/>
      <c r="F215" s="45"/>
      <c r="G215" s="45"/>
      <c r="H215" s="45"/>
      <c r="I215" s="45"/>
      <c r="J215" s="45"/>
      <c r="K215" s="45"/>
      <c r="L215" s="45"/>
      <c r="M215" s="45"/>
      <c r="N215" s="45"/>
    </row>
    <row r="216" spans="1:14" s="47" customFormat="1" ht="34.950000000000003" customHeight="1" x14ac:dyDescent="0.45">
      <c r="A216" s="51"/>
      <c r="B216" s="45"/>
      <c r="C216" s="45"/>
      <c r="D216" s="48"/>
      <c r="E216" s="45"/>
      <c r="F216" s="45"/>
      <c r="G216" s="45"/>
      <c r="H216" s="45"/>
      <c r="I216" s="45"/>
      <c r="J216" s="45"/>
      <c r="K216" s="45"/>
      <c r="L216" s="45"/>
      <c r="M216" s="45"/>
      <c r="N216" s="45"/>
    </row>
    <row r="217" spans="1:14" s="47" customFormat="1" ht="34.950000000000003" customHeight="1" x14ac:dyDescent="0.45">
      <c r="A217" s="51"/>
      <c r="B217" s="45"/>
      <c r="C217" s="45"/>
      <c r="D217" s="48"/>
      <c r="E217" s="45"/>
      <c r="F217" s="45"/>
      <c r="G217" s="45"/>
      <c r="H217" s="45"/>
      <c r="I217" s="45"/>
      <c r="J217" s="45"/>
      <c r="K217" s="45"/>
      <c r="L217" s="45"/>
      <c r="M217" s="45"/>
      <c r="N217" s="45"/>
    </row>
    <row r="218" spans="1:14" s="47" customFormat="1" ht="34.950000000000003" customHeight="1" x14ac:dyDescent="0.45">
      <c r="A218" s="51"/>
      <c r="B218" s="45"/>
      <c r="C218" s="45"/>
      <c r="D218" s="48"/>
      <c r="E218" s="45"/>
      <c r="F218" s="45"/>
      <c r="G218" s="45"/>
      <c r="H218" s="45"/>
      <c r="I218" s="45"/>
      <c r="J218" s="45"/>
      <c r="K218" s="45"/>
      <c r="L218" s="45"/>
      <c r="M218" s="45"/>
      <c r="N218" s="45"/>
    </row>
    <row r="219" spans="1:14" s="47" customFormat="1" ht="34.950000000000003" customHeight="1" x14ac:dyDescent="0.45">
      <c r="A219" s="51"/>
      <c r="B219" s="45"/>
      <c r="C219" s="45"/>
      <c r="D219" s="48"/>
      <c r="E219" s="45"/>
      <c r="F219" s="45"/>
      <c r="G219" s="45"/>
      <c r="H219" s="45"/>
      <c r="I219" s="45"/>
      <c r="J219" s="45"/>
      <c r="K219" s="45"/>
      <c r="L219" s="45"/>
      <c r="M219" s="45"/>
      <c r="N219" s="45"/>
    </row>
    <row r="220" spans="1:14" s="47" customFormat="1" ht="34.950000000000003" customHeight="1" x14ac:dyDescent="0.45">
      <c r="A220" s="51"/>
      <c r="B220" s="45"/>
      <c r="C220" s="45"/>
      <c r="D220" s="48"/>
      <c r="E220" s="45"/>
      <c r="F220" s="45"/>
      <c r="G220" s="45"/>
      <c r="H220" s="45"/>
      <c r="I220" s="45"/>
      <c r="J220" s="45"/>
      <c r="K220" s="45"/>
      <c r="L220" s="45"/>
      <c r="M220" s="45"/>
      <c r="N220" s="45"/>
    </row>
    <row r="221" spans="1:14" s="47" customFormat="1" ht="34.950000000000003" customHeight="1" x14ac:dyDescent="0.45">
      <c r="A221" s="51"/>
      <c r="B221" s="45"/>
      <c r="C221" s="45"/>
      <c r="D221" s="48"/>
      <c r="E221" s="45"/>
      <c r="F221" s="45"/>
      <c r="G221" s="45"/>
      <c r="H221" s="45"/>
      <c r="I221" s="45"/>
      <c r="J221" s="45"/>
      <c r="K221" s="45"/>
      <c r="L221" s="45"/>
      <c r="M221" s="45"/>
      <c r="N221" s="45"/>
    </row>
    <row r="222" spans="1:14" s="47" customFormat="1" ht="34.950000000000003" customHeight="1" x14ac:dyDescent="0.45">
      <c r="A222" s="51"/>
      <c r="B222" s="45"/>
      <c r="C222" s="45"/>
      <c r="D222" s="48"/>
      <c r="E222" s="45"/>
      <c r="F222" s="45"/>
      <c r="G222" s="45"/>
      <c r="H222" s="45"/>
      <c r="I222" s="45"/>
      <c r="J222" s="45"/>
      <c r="K222" s="45"/>
      <c r="L222" s="45"/>
      <c r="M222" s="45"/>
      <c r="N222" s="45"/>
    </row>
    <row r="223" spans="1:14" s="47" customFormat="1" ht="34.950000000000003" customHeight="1" x14ac:dyDescent="0.45">
      <c r="A223" s="51"/>
      <c r="B223" s="45"/>
      <c r="C223" s="45"/>
      <c r="D223" s="48"/>
      <c r="E223" s="45"/>
      <c r="F223" s="45"/>
      <c r="G223" s="45"/>
      <c r="H223" s="45"/>
      <c r="I223" s="45"/>
      <c r="J223" s="45"/>
      <c r="K223" s="45"/>
      <c r="L223" s="45"/>
      <c r="M223" s="45"/>
      <c r="N223" s="45"/>
    </row>
    <row r="224" spans="1:14" s="47" customFormat="1" ht="34.950000000000003" customHeight="1" x14ac:dyDescent="0.45">
      <c r="A224" s="51"/>
      <c r="B224" s="45"/>
      <c r="C224" s="45"/>
      <c r="D224" s="48"/>
      <c r="E224" s="45"/>
      <c r="F224" s="45"/>
      <c r="G224" s="45"/>
      <c r="H224" s="45"/>
      <c r="I224" s="45"/>
      <c r="J224" s="45"/>
      <c r="K224" s="45"/>
      <c r="L224" s="45"/>
      <c r="M224" s="45"/>
      <c r="N224" s="45"/>
    </row>
    <row r="225" spans="1:14" s="47" customFormat="1" ht="34.950000000000003" customHeight="1" x14ac:dyDescent="0.45">
      <c r="A225" s="51"/>
      <c r="B225" s="45"/>
      <c r="C225" s="45"/>
      <c r="D225" s="48"/>
      <c r="E225" s="45"/>
      <c r="F225" s="45"/>
      <c r="G225" s="45"/>
      <c r="H225" s="45"/>
      <c r="I225" s="45"/>
      <c r="J225" s="45"/>
      <c r="K225" s="45"/>
      <c r="L225" s="45"/>
      <c r="M225" s="45"/>
      <c r="N225" s="45"/>
    </row>
    <row r="226" spans="1:14" s="47" customFormat="1" ht="34.950000000000003" customHeight="1" x14ac:dyDescent="0.45">
      <c r="A226" s="51"/>
      <c r="B226" s="45"/>
      <c r="C226" s="45"/>
      <c r="D226" s="48"/>
      <c r="E226" s="45"/>
      <c r="F226" s="45"/>
      <c r="G226" s="45"/>
      <c r="H226" s="45"/>
      <c r="I226" s="45"/>
      <c r="J226" s="45"/>
      <c r="K226" s="45"/>
      <c r="L226" s="45"/>
      <c r="M226" s="45"/>
      <c r="N226" s="45"/>
    </row>
    <row r="227" spans="1:14" s="47" customFormat="1" ht="34.950000000000003" customHeight="1" x14ac:dyDescent="0.45">
      <c r="A227" s="51"/>
      <c r="B227" s="45"/>
      <c r="C227" s="45"/>
      <c r="D227" s="48"/>
      <c r="E227" s="45"/>
      <c r="F227" s="45"/>
      <c r="G227" s="45"/>
      <c r="H227" s="45"/>
      <c r="I227" s="45"/>
      <c r="J227" s="45"/>
      <c r="K227" s="45"/>
      <c r="L227" s="45"/>
      <c r="M227" s="45"/>
      <c r="N227" s="45"/>
    </row>
    <row r="228" spans="1:14" s="47" customFormat="1" ht="34.950000000000003" customHeight="1" x14ac:dyDescent="0.45">
      <c r="A228" s="51"/>
      <c r="B228" s="45"/>
      <c r="C228" s="45"/>
      <c r="D228" s="48"/>
      <c r="E228" s="45"/>
      <c r="F228" s="45"/>
      <c r="G228" s="45"/>
      <c r="H228" s="45"/>
      <c r="I228" s="45"/>
      <c r="J228" s="45"/>
      <c r="K228" s="45"/>
      <c r="L228" s="45"/>
      <c r="M228" s="45"/>
      <c r="N228" s="45"/>
    </row>
    <row r="229" spans="1:14" s="47" customFormat="1" ht="34.950000000000003" customHeight="1" x14ac:dyDescent="0.45">
      <c r="A229" s="51"/>
      <c r="B229" s="45"/>
      <c r="C229" s="45"/>
      <c r="D229" s="48"/>
      <c r="E229" s="45"/>
      <c r="F229" s="45"/>
      <c r="G229" s="45"/>
      <c r="H229" s="45"/>
      <c r="I229" s="45"/>
      <c r="J229" s="45"/>
      <c r="K229" s="45"/>
      <c r="L229" s="45"/>
      <c r="M229" s="45"/>
      <c r="N229" s="45"/>
    </row>
    <row r="230" spans="1:14" s="47" customFormat="1" ht="34.950000000000003" customHeight="1" x14ac:dyDescent="0.45">
      <c r="A230" s="51"/>
      <c r="B230" s="45"/>
      <c r="C230" s="45"/>
      <c r="D230" s="48"/>
      <c r="E230" s="45"/>
      <c r="F230" s="45"/>
      <c r="G230" s="45"/>
      <c r="H230" s="45"/>
      <c r="I230" s="45"/>
      <c r="J230" s="45"/>
      <c r="K230" s="45"/>
      <c r="L230" s="45"/>
      <c r="M230" s="45"/>
      <c r="N230" s="45"/>
    </row>
    <row r="231" spans="1:14" s="47" customFormat="1" ht="34.950000000000003" customHeight="1" x14ac:dyDescent="0.45">
      <c r="A231" s="51"/>
      <c r="B231" s="45"/>
      <c r="C231" s="45"/>
      <c r="D231" s="48"/>
      <c r="E231" s="45"/>
      <c r="F231" s="45"/>
      <c r="G231" s="45"/>
      <c r="H231" s="45"/>
      <c r="I231" s="45"/>
      <c r="J231" s="45"/>
      <c r="K231" s="45"/>
      <c r="L231" s="45"/>
      <c r="M231" s="45"/>
      <c r="N231" s="45"/>
    </row>
    <row r="232" spans="1:14" s="47" customFormat="1" ht="34.950000000000003" customHeight="1" x14ac:dyDescent="0.45">
      <c r="A232" s="51"/>
      <c r="B232" s="45"/>
      <c r="C232" s="45"/>
      <c r="D232" s="48"/>
      <c r="E232" s="45"/>
      <c r="F232" s="45"/>
      <c r="G232" s="45"/>
      <c r="H232" s="45"/>
      <c r="I232" s="45"/>
      <c r="J232" s="45"/>
      <c r="K232" s="45"/>
      <c r="L232" s="45"/>
      <c r="M232" s="45"/>
      <c r="N232" s="45"/>
    </row>
    <row r="233" spans="1:14" s="47" customFormat="1" ht="34.950000000000003" customHeight="1" x14ac:dyDescent="0.45">
      <c r="A233" s="51"/>
      <c r="B233" s="45"/>
      <c r="C233" s="45"/>
      <c r="D233" s="48"/>
      <c r="E233" s="45"/>
      <c r="F233" s="45"/>
      <c r="G233" s="45"/>
      <c r="H233" s="45"/>
      <c r="I233" s="45"/>
      <c r="J233" s="45"/>
      <c r="K233" s="45"/>
      <c r="L233" s="45"/>
      <c r="M233" s="45"/>
      <c r="N233" s="45"/>
    </row>
    <row r="234" spans="1:14" s="47" customFormat="1" ht="34.950000000000003" customHeight="1" x14ac:dyDescent="0.45">
      <c r="A234" s="51"/>
      <c r="B234" s="45"/>
      <c r="C234" s="45"/>
      <c r="D234" s="48"/>
      <c r="E234" s="45"/>
      <c r="F234" s="45"/>
      <c r="G234" s="45"/>
      <c r="H234" s="45"/>
      <c r="I234" s="45"/>
      <c r="J234" s="45"/>
      <c r="K234" s="45"/>
      <c r="L234" s="45"/>
      <c r="M234" s="45"/>
      <c r="N234" s="45"/>
    </row>
    <row r="235" spans="1:14" s="47" customFormat="1" ht="34.950000000000003" customHeight="1" x14ac:dyDescent="0.45">
      <c r="A235" s="51"/>
      <c r="B235" s="45"/>
      <c r="C235" s="45"/>
      <c r="D235" s="48"/>
      <c r="E235" s="45"/>
      <c r="F235" s="45"/>
      <c r="G235" s="45"/>
      <c r="H235" s="45"/>
      <c r="I235" s="45"/>
      <c r="J235" s="45"/>
      <c r="K235" s="45"/>
      <c r="L235" s="45"/>
      <c r="M235" s="45"/>
      <c r="N235" s="45"/>
    </row>
    <row r="236" spans="1:14" s="47" customFormat="1" ht="34.950000000000003" customHeight="1" x14ac:dyDescent="0.45">
      <c r="A236" s="51"/>
      <c r="B236" s="45"/>
      <c r="C236" s="45"/>
      <c r="D236" s="48"/>
      <c r="E236" s="45"/>
      <c r="F236" s="45"/>
      <c r="G236" s="45"/>
      <c r="H236" s="45"/>
      <c r="I236" s="45"/>
      <c r="J236" s="45"/>
      <c r="K236" s="45"/>
      <c r="L236" s="45"/>
      <c r="M236" s="45"/>
      <c r="N236" s="45"/>
    </row>
    <row r="237" spans="1:14" s="47" customFormat="1" ht="34.950000000000003" customHeight="1" x14ac:dyDescent="0.45">
      <c r="A237" s="51"/>
      <c r="B237" s="45"/>
      <c r="C237" s="45"/>
      <c r="D237" s="48"/>
      <c r="E237" s="45"/>
      <c r="F237" s="45"/>
      <c r="G237" s="45"/>
      <c r="H237" s="45"/>
      <c r="I237" s="45"/>
      <c r="J237" s="45"/>
      <c r="K237" s="45"/>
      <c r="L237" s="45"/>
      <c r="M237" s="45"/>
      <c r="N237" s="45"/>
    </row>
    <row r="238" spans="1:14" s="47" customFormat="1" ht="34.950000000000003" customHeight="1" x14ac:dyDescent="0.45">
      <c r="A238" s="51"/>
      <c r="B238" s="45"/>
      <c r="C238" s="45"/>
      <c r="D238" s="48"/>
      <c r="E238" s="45"/>
      <c r="F238" s="45"/>
      <c r="G238" s="45"/>
      <c r="H238" s="45"/>
      <c r="I238" s="45"/>
      <c r="J238" s="45"/>
      <c r="K238" s="45"/>
      <c r="L238" s="45"/>
      <c r="M238" s="45"/>
      <c r="N238" s="45"/>
    </row>
    <row r="239" spans="1:14" s="47" customFormat="1" ht="34.950000000000003" customHeight="1" x14ac:dyDescent="0.45">
      <c r="A239" s="51"/>
      <c r="B239" s="45"/>
      <c r="C239" s="45"/>
      <c r="D239" s="48"/>
      <c r="E239" s="45"/>
      <c r="F239" s="45"/>
      <c r="G239" s="45"/>
      <c r="H239" s="45"/>
      <c r="I239" s="45"/>
      <c r="J239" s="45"/>
      <c r="K239" s="45"/>
      <c r="L239" s="45"/>
      <c r="M239" s="45"/>
      <c r="N239" s="45"/>
    </row>
    <row r="240" spans="1:14" s="47" customFormat="1" ht="34.950000000000003" customHeight="1" x14ac:dyDescent="0.45">
      <c r="A240" s="51"/>
      <c r="B240" s="45"/>
      <c r="C240" s="45"/>
      <c r="D240" s="48"/>
      <c r="E240" s="45"/>
      <c r="F240" s="45"/>
      <c r="G240" s="45"/>
      <c r="H240" s="45"/>
      <c r="I240" s="45"/>
      <c r="J240" s="45"/>
      <c r="K240" s="45"/>
      <c r="L240" s="45"/>
      <c r="M240" s="45"/>
      <c r="N240" s="45"/>
    </row>
    <row r="241" spans="1:14" s="47" customFormat="1" ht="34.950000000000003" customHeight="1" x14ac:dyDescent="0.45">
      <c r="A241" s="51"/>
      <c r="B241" s="45"/>
      <c r="C241" s="45"/>
      <c r="D241" s="48"/>
      <c r="E241" s="45"/>
      <c r="F241" s="45"/>
      <c r="G241" s="45"/>
      <c r="H241" s="45"/>
      <c r="I241" s="45"/>
      <c r="J241" s="45"/>
      <c r="K241" s="45"/>
      <c r="L241" s="45"/>
      <c r="M241" s="45"/>
      <c r="N241" s="45"/>
    </row>
    <row r="242" spans="1:14" s="47" customFormat="1" ht="34.950000000000003" customHeight="1" x14ac:dyDescent="0.45">
      <c r="A242" s="51"/>
      <c r="B242" s="45"/>
      <c r="C242" s="45"/>
      <c r="D242" s="48"/>
      <c r="E242" s="45"/>
      <c r="F242" s="45"/>
      <c r="G242" s="45"/>
      <c r="H242" s="45"/>
      <c r="I242" s="45"/>
      <c r="J242" s="45"/>
      <c r="K242" s="45"/>
      <c r="L242" s="45"/>
      <c r="M242" s="45"/>
      <c r="N242" s="45"/>
    </row>
    <row r="243" spans="1:14" s="47" customFormat="1" ht="34.950000000000003" customHeight="1" x14ac:dyDescent="0.45">
      <c r="A243" s="51"/>
      <c r="B243" s="45"/>
      <c r="C243" s="45"/>
      <c r="D243" s="48"/>
      <c r="E243" s="45"/>
      <c r="F243" s="45"/>
      <c r="G243" s="45"/>
      <c r="H243" s="45"/>
      <c r="I243" s="45"/>
      <c r="J243" s="45"/>
      <c r="K243" s="45"/>
      <c r="L243" s="45"/>
      <c r="M243" s="45"/>
      <c r="N243" s="45"/>
    </row>
    <row r="244" spans="1:14" s="47" customFormat="1" ht="34.950000000000003" customHeight="1" x14ac:dyDescent="0.45">
      <c r="A244" s="51"/>
      <c r="B244" s="45"/>
      <c r="C244" s="45"/>
      <c r="D244" s="48"/>
      <c r="E244" s="45"/>
      <c r="F244" s="45"/>
      <c r="G244" s="45"/>
      <c r="H244" s="45"/>
      <c r="I244" s="45"/>
      <c r="J244" s="45"/>
      <c r="K244" s="45"/>
      <c r="L244" s="45"/>
      <c r="M244" s="45"/>
      <c r="N244" s="45"/>
    </row>
    <row r="245" spans="1:14" s="47" customFormat="1" ht="34.950000000000003" customHeight="1" x14ac:dyDescent="0.45">
      <c r="A245" s="51"/>
      <c r="B245" s="45"/>
      <c r="C245" s="45"/>
      <c r="D245" s="48"/>
      <c r="E245" s="45"/>
      <c r="F245" s="45"/>
      <c r="G245" s="45"/>
      <c r="H245" s="45"/>
      <c r="I245" s="45"/>
      <c r="J245" s="45"/>
      <c r="K245" s="45"/>
      <c r="L245" s="45"/>
      <c r="M245" s="45"/>
      <c r="N245" s="45"/>
    </row>
    <row r="246" spans="1:14" s="47" customFormat="1" ht="34.950000000000003" customHeight="1" x14ac:dyDescent="0.45">
      <c r="A246" s="51"/>
      <c r="B246" s="45"/>
      <c r="C246" s="45"/>
      <c r="D246" s="48"/>
      <c r="E246" s="45"/>
      <c r="F246" s="45"/>
      <c r="G246" s="45"/>
      <c r="H246" s="45"/>
      <c r="I246" s="45"/>
      <c r="J246" s="45"/>
      <c r="K246" s="45"/>
      <c r="L246" s="45"/>
      <c r="M246" s="45"/>
      <c r="N246" s="45"/>
    </row>
    <row r="247" spans="1:14" s="47" customFormat="1" ht="34.950000000000003" customHeight="1" x14ac:dyDescent="0.45">
      <c r="A247" s="51"/>
      <c r="B247" s="45"/>
      <c r="C247" s="45"/>
      <c r="D247" s="48"/>
      <c r="E247" s="45"/>
      <c r="F247" s="45"/>
      <c r="G247" s="45"/>
      <c r="H247" s="45"/>
      <c r="I247" s="45"/>
      <c r="J247" s="45"/>
      <c r="K247" s="45"/>
      <c r="L247" s="45"/>
      <c r="M247" s="45"/>
      <c r="N247" s="45"/>
    </row>
    <row r="248" spans="1:14" s="47" customFormat="1" ht="34.950000000000003" customHeight="1" x14ac:dyDescent="0.45">
      <c r="A248" s="51"/>
      <c r="B248" s="45"/>
      <c r="C248" s="45"/>
      <c r="D248" s="48"/>
      <c r="E248" s="45"/>
      <c r="F248" s="45"/>
      <c r="G248" s="45"/>
      <c r="H248" s="45"/>
      <c r="I248" s="45"/>
      <c r="J248" s="45"/>
      <c r="K248" s="45"/>
      <c r="L248" s="45"/>
      <c r="M248" s="45"/>
      <c r="N248" s="45"/>
    </row>
    <row r="249" spans="1:14" s="47" customFormat="1" ht="34.950000000000003" customHeight="1" x14ac:dyDescent="0.45">
      <c r="A249" s="51"/>
      <c r="B249" s="45"/>
      <c r="C249" s="45"/>
      <c r="D249" s="48"/>
      <c r="E249" s="45"/>
      <c r="F249" s="45"/>
      <c r="G249" s="45"/>
      <c r="H249" s="45"/>
      <c r="I249" s="45"/>
      <c r="J249" s="45"/>
      <c r="K249" s="45"/>
      <c r="L249" s="45"/>
      <c r="M249" s="45"/>
      <c r="N249" s="45"/>
    </row>
    <row r="250" spans="1:14" s="47" customFormat="1" ht="34.950000000000003" customHeight="1" x14ac:dyDescent="0.45">
      <c r="A250" s="51"/>
      <c r="B250" s="45"/>
      <c r="C250" s="45"/>
      <c r="D250" s="48"/>
      <c r="E250" s="45"/>
      <c r="F250" s="45"/>
      <c r="G250" s="45"/>
      <c r="H250" s="45"/>
      <c r="I250" s="45"/>
      <c r="J250" s="45"/>
      <c r="K250" s="45"/>
      <c r="L250" s="45"/>
      <c r="M250" s="45"/>
      <c r="N250" s="45"/>
    </row>
    <row r="251" spans="1:14" s="47" customFormat="1" ht="34.950000000000003" customHeight="1" x14ac:dyDescent="0.45">
      <c r="A251" s="51"/>
      <c r="B251" s="45"/>
      <c r="C251" s="45"/>
      <c r="D251" s="48"/>
      <c r="E251" s="45"/>
      <c r="F251" s="45"/>
      <c r="G251" s="45"/>
      <c r="H251" s="45"/>
      <c r="I251" s="45"/>
      <c r="J251" s="45"/>
      <c r="K251" s="45"/>
      <c r="L251" s="45"/>
      <c r="M251" s="45"/>
      <c r="N251" s="45"/>
    </row>
    <row r="252" spans="1:14" s="47" customFormat="1" ht="34.950000000000003" customHeight="1" x14ac:dyDescent="0.45">
      <c r="A252" s="51"/>
      <c r="B252" s="45"/>
      <c r="C252" s="45"/>
      <c r="D252" s="48"/>
      <c r="E252" s="45"/>
      <c r="F252" s="45"/>
      <c r="G252" s="45"/>
      <c r="H252" s="45"/>
      <c r="I252" s="45"/>
      <c r="J252" s="45"/>
      <c r="K252" s="45"/>
      <c r="L252" s="45"/>
      <c r="M252" s="45"/>
      <c r="N252" s="45"/>
    </row>
    <row r="253" spans="1:14" s="47" customFormat="1" ht="34.950000000000003" customHeight="1" x14ac:dyDescent="0.45">
      <c r="A253" s="51"/>
      <c r="B253" s="45"/>
      <c r="C253" s="45"/>
      <c r="D253" s="48"/>
      <c r="E253" s="45"/>
      <c r="F253" s="45"/>
      <c r="G253" s="45"/>
      <c r="H253" s="45"/>
      <c r="I253" s="45"/>
      <c r="J253" s="45"/>
      <c r="K253" s="45"/>
      <c r="L253" s="45"/>
      <c r="M253" s="45"/>
      <c r="N253" s="45"/>
    </row>
    <row r="254" spans="1:14" s="47" customFormat="1" ht="34.950000000000003" customHeight="1" x14ac:dyDescent="0.45">
      <c r="A254" s="51"/>
      <c r="B254" s="45"/>
      <c r="C254" s="45"/>
      <c r="D254" s="48"/>
      <c r="E254" s="45"/>
      <c r="F254" s="45"/>
      <c r="G254" s="45"/>
      <c r="H254" s="45"/>
      <c r="I254" s="45"/>
      <c r="J254" s="45"/>
      <c r="K254" s="45"/>
      <c r="L254" s="45"/>
      <c r="M254" s="45"/>
      <c r="N254" s="45"/>
    </row>
    <row r="255" spans="1:14" s="47" customFormat="1" ht="34.950000000000003" customHeight="1" x14ac:dyDescent="0.45">
      <c r="A255" s="51"/>
      <c r="B255" s="45"/>
      <c r="C255" s="45"/>
      <c r="D255" s="48"/>
      <c r="E255" s="45"/>
      <c r="F255" s="45"/>
      <c r="G255" s="45"/>
      <c r="H255" s="45"/>
      <c r="I255" s="45"/>
      <c r="J255" s="45"/>
      <c r="K255" s="45"/>
      <c r="L255" s="45"/>
      <c r="M255" s="45"/>
      <c r="N255" s="45"/>
    </row>
    <row r="256" spans="1:14" s="47" customFormat="1" ht="34.950000000000003" customHeight="1" x14ac:dyDescent="0.45">
      <c r="A256" s="51"/>
      <c r="B256" s="45"/>
      <c r="C256" s="45"/>
      <c r="D256" s="48"/>
      <c r="E256" s="45"/>
      <c r="F256" s="45"/>
      <c r="G256" s="45"/>
      <c r="H256" s="45"/>
      <c r="I256" s="45"/>
      <c r="J256" s="45"/>
      <c r="K256" s="45"/>
      <c r="L256" s="45"/>
      <c r="M256" s="45"/>
      <c r="N256" s="45"/>
    </row>
    <row r="257" spans="1:14" s="47" customFormat="1" ht="34.950000000000003" customHeight="1" x14ac:dyDescent="0.45">
      <c r="A257" s="51"/>
      <c r="B257" s="45"/>
      <c r="C257" s="45"/>
      <c r="D257" s="48"/>
      <c r="E257" s="45"/>
      <c r="F257" s="45"/>
      <c r="G257" s="45"/>
      <c r="H257" s="45"/>
      <c r="I257" s="45"/>
      <c r="J257" s="45"/>
      <c r="K257" s="45"/>
      <c r="L257" s="45"/>
      <c r="M257" s="45"/>
      <c r="N257" s="45"/>
    </row>
    <row r="258" spans="1:14" s="47" customFormat="1" ht="34.950000000000003" customHeight="1" x14ac:dyDescent="0.45">
      <c r="A258" s="51"/>
      <c r="B258" s="45"/>
      <c r="C258" s="45"/>
      <c r="D258" s="48"/>
      <c r="E258" s="45"/>
      <c r="F258" s="45"/>
      <c r="G258" s="45"/>
      <c r="H258" s="45"/>
      <c r="I258" s="45"/>
      <c r="J258" s="45"/>
      <c r="K258" s="45"/>
      <c r="L258" s="45"/>
      <c r="M258" s="45"/>
      <c r="N258" s="45"/>
    </row>
    <row r="259" spans="1:14" s="47" customFormat="1" ht="34.950000000000003" customHeight="1" x14ac:dyDescent="0.45">
      <c r="A259" s="51"/>
      <c r="B259" s="45"/>
      <c r="C259" s="45"/>
      <c r="D259" s="48"/>
      <c r="E259" s="45"/>
      <c r="F259" s="45"/>
      <c r="G259" s="45"/>
      <c r="H259" s="45"/>
      <c r="I259" s="45"/>
      <c r="J259" s="45"/>
      <c r="K259" s="45"/>
      <c r="L259" s="45"/>
      <c r="M259" s="45"/>
      <c r="N259" s="45"/>
    </row>
    <row r="260" spans="1:14" s="47" customFormat="1" ht="34.950000000000003" customHeight="1" x14ac:dyDescent="0.45">
      <c r="A260" s="51"/>
      <c r="B260" s="45"/>
      <c r="C260" s="45"/>
      <c r="D260" s="48"/>
      <c r="E260" s="45"/>
      <c r="F260" s="45"/>
      <c r="G260" s="45"/>
      <c r="H260" s="45"/>
      <c r="I260" s="45"/>
      <c r="J260" s="45"/>
      <c r="K260" s="45"/>
      <c r="L260" s="45"/>
      <c r="M260" s="45"/>
      <c r="N260" s="45"/>
    </row>
    <row r="261" spans="1:14" s="47" customFormat="1" ht="34.950000000000003" customHeight="1" x14ac:dyDescent="0.45">
      <c r="A261" s="51"/>
      <c r="B261" s="45"/>
      <c r="C261" s="45"/>
      <c r="D261" s="48"/>
      <c r="E261" s="45"/>
      <c r="F261" s="45"/>
      <c r="G261" s="45"/>
      <c r="H261" s="45"/>
      <c r="I261" s="45"/>
      <c r="J261" s="45"/>
      <c r="K261" s="45"/>
      <c r="L261" s="45"/>
      <c r="M261" s="45"/>
      <c r="N261" s="45"/>
    </row>
    <row r="262" spans="1:14" s="47" customFormat="1" ht="34.950000000000003" customHeight="1" x14ac:dyDescent="0.45">
      <c r="A262" s="51"/>
      <c r="B262" s="45"/>
      <c r="C262" s="45"/>
      <c r="D262" s="48"/>
      <c r="E262" s="45"/>
      <c r="F262" s="45"/>
      <c r="G262" s="45"/>
      <c r="H262" s="45"/>
      <c r="I262" s="45"/>
      <c r="J262" s="45"/>
      <c r="K262" s="45"/>
      <c r="L262" s="45"/>
      <c r="M262" s="45"/>
      <c r="N262" s="45"/>
    </row>
    <row r="263" spans="1:14" s="47" customFormat="1" ht="34.950000000000003" customHeight="1" x14ac:dyDescent="0.45">
      <c r="A263" s="51"/>
      <c r="B263" s="45"/>
      <c r="C263" s="45"/>
      <c r="D263" s="48"/>
      <c r="E263" s="45"/>
      <c r="F263" s="45"/>
      <c r="G263" s="45"/>
      <c r="H263" s="45"/>
      <c r="I263" s="45"/>
      <c r="J263" s="45"/>
      <c r="K263" s="45"/>
      <c r="L263" s="45"/>
      <c r="M263" s="45"/>
      <c r="N263" s="45"/>
    </row>
    <row r="264" spans="1:14" s="47" customFormat="1" ht="34.950000000000003" customHeight="1" x14ac:dyDescent="0.45">
      <c r="A264" s="51"/>
      <c r="B264" s="45"/>
      <c r="C264" s="45"/>
      <c r="D264" s="48"/>
      <c r="E264" s="45"/>
      <c r="F264" s="45"/>
      <c r="G264" s="45"/>
      <c r="H264" s="45"/>
      <c r="I264" s="45"/>
      <c r="J264" s="45"/>
      <c r="K264" s="45"/>
      <c r="L264" s="45"/>
      <c r="M264" s="45"/>
      <c r="N264" s="45"/>
    </row>
    <row r="265" spans="1:14" s="47" customFormat="1" ht="34.950000000000003" customHeight="1" x14ac:dyDescent="0.45">
      <c r="A265" s="51"/>
      <c r="B265" s="45"/>
      <c r="C265" s="45"/>
      <c r="D265" s="48"/>
      <c r="E265" s="45"/>
      <c r="F265" s="45"/>
      <c r="G265" s="45"/>
      <c r="H265" s="45"/>
      <c r="I265" s="45"/>
      <c r="J265" s="45"/>
      <c r="K265" s="45"/>
      <c r="L265" s="45"/>
      <c r="M265" s="45"/>
      <c r="N265" s="45"/>
    </row>
    <row r="266" spans="1:14" s="47" customFormat="1" ht="34.950000000000003" customHeight="1" x14ac:dyDescent="0.45">
      <c r="A266" s="51"/>
      <c r="B266" s="45"/>
      <c r="C266" s="45"/>
      <c r="D266" s="48"/>
      <c r="E266" s="45"/>
      <c r="F266" s="45"/>
      <c r="G266" s="45"/>
      <c r="H266" s="45"/>
      <c r="I266" s="45"/>
      <c r="J266" s="45"/>
      <c r="K266" s="45"/>
      <c r="L266" s="45"/>
      <c r="M266" s="45"/>
      <c r="N266" s="45"/>
    </row>
    <row r="267" spans="1:14" s="47" customFormat="1" ht="34.950000000000003" customHeight="1" x14ac:dyDescent="0.45">
      <c r="A267" s="51"/>
      <c r="B267" s="45"/>
      <c r="C267" s="45"/>
      <c r="D267" s="48"/>
      <c r="E267" s="45"/>
      <c r="F267" s="45"/>
      <c r="G267" s="45"/>
      <c r="H267" s="45"/>
      <c r="I267" s="45"/>
      <c r="J267" s="45"/>
      <c r="K267" s="45"/>
      <c r="L267" s="45"/>
      <c r="M267" s="45"/>
      <c r="N267" s="45"/>
    </row>
    <row r="268" spans="1:14" s="47" customFormat="1" ht="34.950000000000003" customHeight="1" x14ac:dyDescent="0.45">
      <c r="A268" s="51"/>
      <c r="B268" s="45"/>
      <c r="C268" s="45"/>
      <c r="D268" s="48"/>
      <c r="E268" s="45"/>
      <c r="F268" s="45"/>
      <c r="G268" s="45"/>
      <c r="H268" s="45"/>
      <c r="I268" s="45"/>
      <c r="J268" s="45"/>
      <c r="K268" s="45"/>
      <c r="L268" s="45"/>
      <c r="M268" s="45"/>
      <c r="N268" s="45"/>
    </row>
    <row r="269" spans="1:14" s="47" customFormat="1" ht="34.950000000000003" customHeight="1" x14ac:dyDescent="0.45">
      <c r="A269" s="51"/>
      <c r="B269" s="45"/>
      <c r="C269" s="45"/>
      <c r="D269" s="48"/>
      <c r="E269" s="45"/>
      <c r="F269" s="45"/>
      <c r="G269" s="45"/>
      <c r="H269" s="45"/>
      <c r="I269" s="45"/>
      <c r="J269" s="45"/>
      <c r="K269" s="45"/>
      <c r="L269" s="45"/>
      <c r="M269" s="45"/>
      <c r="N269" s="45"/>
    </row>
    <row r="270" spans="1:14" s="47" customFormat="1" ht="34.950000000000003" customHeight="1" x14ac:dyDescent="0.45">
      <c r="A270" s="51"/>
      <c r="B270" s="45"/>
      <c r="C270" s="45"/>
      <c r="D270" s="48"/>
      <c r="E270" s="45"/>
      <c r="F270" s="45"/>
      <c r="G270" s="45"/>
      <c r="H270" s="45"/>
      <c r="I270" s="45"/>
      <c r="J270" s="45"/>
      <c r="K270" s="45"/>
      <c r="L270" s="45"/>
      <c r="M270" s="45"/>
      <c r="N270" s="45"/>
    </row>
    <row r="271" spans="1:14" s="47" customFormat="1" ht="34.950000000000003" customHeight="1" x14ac:dyDescent="0.45">
      <c r="A271" s="51"/>
      <c r="B271" s="45"/>
      <c r="C271" s="45"/>
      <c r="D271" s="48"/>
      <c r="E271" s="45"/>
      <c r="F271" s="45"/>
      <c r="G271" s="45"/>
      <c r="H271" s="45"/>
      <c r="I271" s="45"/>
      <c r="J271" s="45"/>
      <c r="K271" s="45"/>
      <c r="L271" s="45"/>
      <c r="M271" s="45"/>
      <c r="N271" s="45"/>
    </row>
    <row r="272" spans="1:14" s="47" customFormat="1" ht="34.950000000000003" customHeight="1" x14ac:dyDescent="0.45">
      <c r="A272" s="51"/>
      <c r="B272" s="45"/>
      <c r="C272" s="45"/>
      <c r="D272" s="48"/>
      <c r="E272" s="45"/>
      <c r="F272" s="45"/>
      <c r="G272" s="45"/>
      <c r="H272" s="45"/>
      <c r="I272" s="45"/>
      <c r="J272" s="45"/>
      <c r="K272" s="45"/>
      <c r="L272" s="45"/>
      <c r="M272" s="45"/>
      <c r="N272" s="45"/>
    </row>
    <row r="273" spans="1:14" s="47" customFormat="1" ht="34.950000000000003" customHeight="1" x14ac:dyDescent="0.45">
      <c r="A273" s="51"/>
      <c r="B273" s="45"/>
      <c r="C273" s="45"/>
      <c r="D273" s="48"/>
      <c r="E273" s="45"/>
      <c r="F273" s="45"/>
      <c r="G273" s="45"/>
      <c r="H273" s="45"/>
      <c r="I273" s="45"/>
      <c r="J273" s="45"/>
      <c r="K273" s="45"/>
      <c r="L273" s="45"/>
      <c r="M273" s="45"/>
      <c r="N273" s="45"/>
    </row>
    <row r="274" spans="1:14" s="47" customFormat="1" ht="34.950000000000003" customHeight="1" x14ac:dyDescent="0.45">
      <c r="A274" s="51"/>
      <c r="B274" s="45"/>
      <c r="C274" s="45"/>
      <c r="D274" s="48"/>
      <c r="E274" s="45"/>
      <c r="F274" s="45"/>
      <c r="G274" s="45"/>
      <c r="H274" s="45"/>
      <c r="I274" s="45"/>
      <c r="J274" s="45"/>
      <c r="K274" s="45"/>
      <c r="L274" s="45"/>
      <c r="M274" s="45"/>
      <c r="N274" s="45"/>
    </row>
    <row r="275" spans="1:14" s="47" customFormat="1" ht="34.950000000000003" customHeight="1" x14ac:dyDescent="0.45">
      <c r="A275" s="51"/>
      <c r="B275" s="45"/>
      <c r="C275" s="45"/>
      <c r="D275" s="48"/>
      <c r="E275" s="45"/>
      <c r="F275" s="45"/>
      <c r="G275" s="45"/>
      <c r="H275" s="45"/>
      <c r="I275" s="45"/>
      <c r="J275" s="45"/>
      <c r="K275" s="45"/>
      <c r="L275" s="45"/>
      <c r="M275" s="45"/>
      <c r="N275" s="45"/>
    </row>
    <row r="276" spans="1:14" s="47" customFormat="1" ht="34.950000000000003" customHeight="1" x14ac:dyDescent="0.45">
      <c r="A276" s="51"/>
      <c r="B276" s="45"/>
      <c r="C276" s="45"/>
      <c r="D276" s="48"/>
      <c r="E276" s="45"/>
      <c r="F276" s="45"/>
      <c r="G276" s="45"/>
      <c r="H276" s="45"/>
      <c r="I276" s="45"/>
      <c r="J276" s="45"/>
      <c r="K276" s="45"/>
      <c r="L276" s="45"/>
      <c r="M276" s="45"/>
      <c r="N276" s="45"/>
    </row>
    <row r="277" spans="1:14" s="47" customFormat="1" ht="34.950000000000003" customHeight="1" x14ac:dyDescent="0.45">
      <c r="A277" s="51"/>
      <c r="B277" s="45"/>
      <c r="C277" s="45"/>
      <c r="D277" s="48"/>
      <c r="E277" s="45"/>
      <c r="F277" s="45"/>
      <c r="G277" s="45"/>
      <c r="H277" s="45"/>
      <c r="I277" s="45"/>
      <c r="J277" s="45"/>
      <c r="K277" s="45"/>
      <c r="L277" s="45"/>
      <c r="M277" s="45"/>
      <c r="N277" s="45"/>
    </row>
    <row r="278" spans="1:14" s="47" customFormat="1" ht="34.950000000000003" customHeight="1" x14ac:dyDescent="0.45">
      <c r="A278" s="51"/>
      <c r="B278" s="45"/>
      <c r="C278" s="45"/>
      <c r="D278" s="48"/>
      <c r="E278" s="45"/>
      <c r="F278" s="45"/>
      <c r="G278" s="45"/>
      <c r="H278" s="45"/>
      <c r="I278" s="45"/>
      <c r="J278" s="45"/>
      <c r="K278" s="45"/>
      <c r="L278" s="45"/>
      <c r="M278" s="45"/>
      <c r="N278" s="45"/>
    </row>
    <row r="279" spans="1:14" s="47" customFormat="1" ht="34.950000000000003" customHeight="1" x14ac:dyDescent="0.45">
      <c r="A279" s="51"/>
      <c r="B279" s="45"/>
      <c r="C279" s="45"/>
      <c r="D279" s="48"/>
      <c r="E279" s="45"/>
      <c r="F279" s="45"/>
      <c r="G279" s="45"/>
      <c r="H279" s="45"/>
      <c r="I279" s="45"/>
      <c r="J279" s="45"/>
      <c r="K279" s="45"/>
      <c r="L279" s="45"/>
      <c r="M279" s="45"/>
      <c r="N279" s="45"/>
    </row>
    <row r="280" spans="1:14" s="47" customFormat="1" ht="34.950000000000003" customHeight="1" x14ac:dyDescent="0.45">
      <c r="A280" s="51"/>
      <c r="B280" s="45"/>
      <c r="C280" s="45"/>
      <c r="D280" s="48"/>
      <c r="E280" s="45"/>
      <c r="F280" s="45"/>
      <c r="G280" s="45"/>
      <c r="H280" s="45"/>
      <c r="I280" s="45"/>
      <c r="J280" s="45"/>
      <c r="K280" s="45"/>
      <c r="L280" s="45"/>
      <c r="M280" s="45"/>
      <c r="N280" s="45"/>
    </row>
    <row r="281" spans="1:14" s="47" customFormat="1" ht="34.950000000000003" customHeight="1" x14ac:dyDescent="0.45">
      <c r="A281" s="51"/>
      <c r="B281" s="45"/>
      <c r="C281" s="45"/>
      <c r="D281" s="48"/>
      <c r="E281" s="45"/>
      <c r="F281" s="45"/>
      <c r="G281" s="45"/>
      <c r="H281" s="45"/>
      <c r="I281" s="45"/>
      <c r="J281" s="45"/>
      <c r="K281" s="45"/>
      <c r="L281" s="45"/>
      <c r="M281" s="45"/>
      <c r="N281" s="45"/>
    </row>
    <row r="282" spans="1:14" s="47" customFormat="1" ht="34.950000000000003" customHeight="1" x14ac:dyDescent="0.45">
      <c r="A282" s="51"/>
      <c r="B282" s="45"/>
      <c r="C282" s="45"/>
      <c r="D282" s="48"/>
      <c r="E282" s="45"/>
      <c r="F282" s="45"/>
      <c r="G282" s="45"/>
      <c r="H282" s="45"/>
      <c r="I282" s="45"/>
      <c r="J282" s="45"/>
      <c r="K282" s="45"/>
      <c r="L282" s="45"/>
      <c r="M282" s="45"/>
      <c r="N282" s="45"/>
    </row>
    <row r="283" spans="1:14" s="47" customFormat="1" ht="34.950000000000003" customHeight="1" x14ac:dyDescent="0.45">
      <c r="A283" s="51"/>
      <c r="B283" s="45"/>
      <c r="C283" s="45"/>
      <c r="D283" s="48"/>
      <c r="E283" s="45"/>
      <c r="F283" s="45"/>
      <c r="G283" s="45"/>
      <c r="H283" s="45"/>
      <c r="I283" s="45"/>
      <c r="J283" s="45"/>
      <c r="K283" s="45"/>
      <c r="L283" s="45"/>
      <c r="M283" s="45"/>
      <c r="N283" s="45"/>
    </row>
    <row r="284" spans="1:14" s="47" customFormat="1" ht="34.950000000000003" customHeight="1" x14ac:dyDescent="0.45">
      <c r="A284" s="51"/>
      <c r="B284" s="45"/>
      <c r="C284" s="45"/>
      <c r="D284" s="48"/>
      <c r="E284" s="45"/>
      <c r="F284" s="45"/>
      <c r="G284" s="45"/>
      <c r="H284" s="45"/>
      <c r="I284" s="45"/>
      <c r="J284" s="45"/>
      <c r="K284" s="45"/>
      <c r="L284" s="45"/>
      <c r="M284" s="45"/>
      <c r="N284" s="45"/>
    </row>
    <row r="285" spans="1:14" s="47" customFormat="1" ht="34.950000000000003" customHeight="1" x14ac:dyDescent="0.45">
      <c r="A285" s="51"/>
      <c r="B285" s="45"/>
      <c r="C285" s="45"/>
      <c r="D285" s="48"/>
      <c r="E285" s="45"/>
      <c r="F285" s="45"/>
      <c r="G285" s="45"/>
      <c r="H285" s="45"/>
      <c r="I285" s="45"/>
      <c r="J285" s="45"/>
      <c r="K285" s="45"/>
      <c r="L285" s="45"/>
      <c r="M285" s="45"/>
      <c r="N285" s="45"/>
    </row>
    <row r="286" spans="1:14" s="47" customFormat="1" ht="34.950000000000003" customHeight="1" x14ac:dyDescent="0.45">
      <c r="A286" s="51"/>
      <c r="B286" s="45"/>
      <c r="C286" s="45"/>
      <c r="D286" s="48"/>
      <c r="E286" s="45"/>
      <c r="F286" s="45"/>
      <c r="G286" s="45"/>
      <c r="H286" s="45"/>
      <c r="I286" s="45"/>
      <c r="J286" s="45"/>
      <c r="K286" s="45"/>
      <c r="L286" s="45"/>
      <c r="M286" s="45"/>
      <c r="N286" s="45"/>
    </row>
    <row r="287" spans="1:14" s="47" customFormat="1" ht="34.950000000000003" customHeight="1" x14ac:dyDescent="0.45">
      <c r="A287" s="51"/>
      <c r="B287" s="45"/>
      <c r="C287" s="45"/>
      <c r="D287" s="48"/>
      <c r="E287" s="45"/>
      <c r="F287" s="45"/>
      <c r="G287" s="45"/>
      <c r="H287" s="45"/>
      <c r="I287" s="45"/>
      <c r="J287" s="45"/>
      <c r="K287" s="45"/>
      <c r="L287" s="45"/>
      <c r="M287" s="45"/>
      <c r="N287" s="45"/>
    </row>
    <row r="288" spans="1:14" s="47" customFormat="1" ht="34.950000000000003" customHeight="1" x14ac:dyDescent="0.45">
      <c r="A288" s="51"/>
      <c r="B288" s="45"/>
      <c r="C288" s="45"/>
      <c r="D288" s="48"/>
      <c r="E288" s="45"/>
      <c r="F288" s="45"/>
      <c r="G288" s="45"/>
      <c r="H288" s="45"/>
      <c r="I288" s="45"/>
      <c r="J288" s="45"/>
      <c r="K288" s="45"/>
      <c r="L288" s="45"/>
      <c r="M288" s="45"/>
      <c r="N288" s="45"/>
    </row>
    <row r="289" spans="1:14" s="47" customFormat="1" ht="34.950000000000003" customHeight="1" x14ac:dyDescent="0.45">
      <c r="A289" s="51"/>
      <c r="B289" s="45"/>
      <c r="C289" s="45"/>
      <c r="D289" s="48"/>
      <c r="E289" s="45"/>
      <c r="F289" s="45"/>
      <c r="G289" s="45"/>
      <c r="H289" s="45"/>
      <c r="I289" s="45"/>
      <c r="J289" s="45"/>
      <c r="K289" s="45"/>
      <c r="L289" s="45"/>
      <c r="M289" s="45"/>
      <c r="N289" s="45"/>
    </row>
    <row r="290" spans="1:14" s="47" customFormat="1" ht="34.950000000000003" customHeight="1" x14ac:dyDescent="0.45">
      <c r="A290" s="51"/>
      <c r="B290" s="45"/>
      <c r="C290" s="45"/>
      <c r="D290" s="48"/>
      <c r="E290" s="45"/>
      <c r="F290" s="45"/>
      <c r="G290" s="45"/>
      <c r="H290" s="45"/>
      <c r="I290" s="45"/>
      <c r="J290" s="45"/>
      <c r="K290" s="45"/>
      <c r="L290" s="45"/>
      <c r="M290" s="45"/>
      <c r="N290" s="45"/>
    </row>
    <row r="291" spans="1:14" s="47" customFormat="1" ht="34.950000000000003" customHeight="1" x14ac:dyDescent="0.45">
      <c r="A291" s="51"/>
      <c r="B291" s="45"/>
      <c r="C291" s="45"/>
      <c r="D291" s="48"/>
      <c r="E291" s="45"/>
      <c r="F291" s="45"/>
      <c r="G291" s="45"/>
      <c r="H291" s="45"/>
      <c r="I291" s="45"/>
      <c r="J291" s="45"/>
      <c r="K291" s="45"/>
      <c r="L291" s="45"/>
      <c r="M291" s="45"/>
      <c r="N291" s="45"/>
    </row>
    <row r="292" spans="1:14" s="47" customFormat="1" ht="34.950000000000003" customHeight="1" x14ac:dyDescent="0.45">
      <c r="A292" s="51"/>
      <c r="B292" s="45"/>
      <c r="C292" s="45"/>
      <c r="D292" s="48"/>
      <c r="E292" s="45"/>
      <c r="F292" s="45"/>
      <c r="G292" s="45"/>
      <c r="H292" s="45"/>
      <c r="I292" s="45"/>
      <c r="J292" s="45"/>
      <c r="K292" s="45"/>
      <c r="L292" s="45"/>
      <c r="M292" s="45"/>
      <c r="N292" s="45"/>
    </row>
    <row r="293" spans="1:14" s="47" customFormat="1" ht="34.950000000000003" customHeight="1" x14ac:dyDescent="0.45">
      <c r="A293" s="51"/>
      <c r="B293" s="45"/>
      <c r="C293" s="45"/>
      <c r="D293" s="48"/>
      <c r="E293" s="45"/>
      <c r="F293" s="45"/>
      <c r="G293" s="45"/>
      <c r="H293" s="45"/>
      <c r="I293" s="45"/>
      <c r="J293" s="45"/>
      <c r="K293" s="45"/>
      <c r="L293" s="45"/>
      <c r="M293" s="45"/>
      <c r="N293" s="45"/>
    </row>
    <row r="294" spans="1:14" s="47" customFormat="1" ht="34.950000000000003" customHeight="1" x14ac:dyDescent="0.45">
      <c r="A294" s="51"/>
      <c r="B294" s="45"/>
      <c r="C294" s="45"/>
      <c r="D294" s="48"/>
      <c r="E294" s="45"/>
      <c r="F294" s="45"/>
      <c r="G294" s="45"/>
      <c r="H294" s="45"/>
      <c r="I294" s="45"/>
      <c r="J294" s="45"/>
      <c r="K294" s="45"/>
      <c r="L294" s="45"/>
      <c r="M294" s="45"/>
      <c r="N294" s="45"/>
    </row>
    <row r="295" spans="1:14" s="47" customFormat="1" ht="34.950000000000003" customHeight="1" x14ac:dyDescent="0.45">
      <c r="A295" s="51"/>
      <c r="B295" s="45"/>
      <c r="C295" s="45"/>
      <c r="D295" s="48"/>
      <c r="E295" s="45"/>
      <c r="F295" s="45"/>
      <c r="G295" s="45"/>
      <c r="H295" s="45"/>
      <c r="I295" s="45"/>
      <c r="J295" s="45"/>
      <c r="K295" s="45"/>
      <c r="L295" s="45"/>
      <c r="M295" s="45"/>
      <c r="N295" s="45"/>
    </row>
    <row r="296" spans="1:14" s="47" customFormat="1" ht="34.950000000000003" customHeight="1" x14ac:dyDescent="0.45">
      <c r="A296" s="51"/>
      <c r="B296" s="45"/>
      <c r="C296" s="45"/>
      <c r="D296" s="48"/>
      <c r="E296" s="45"/>
      <c r="F296" s="45"/>
      <c r="G296" s="45"/>
      <c r="H296" s="45"/>
      <c r="I296" s="45"/>
      <c r="J296" s="45"/>
      <c r="K296" s="45"/>
      <c r="L296" s="45"/>
      <c r="M296" s="45"/>
      <c r="N296" s="45"/>
    </row>
    <row r="297" spans="1:14" s="47" customFormat="1" ht="34.950000000000003" customHeight="1" x14ac:dyDescent="0.45">
      <c r="A297" s="51"/>
      <c r="B297" s="45"/>
      <c r="C297" s="45"/>
      <c r="D297" s="48"/>
      <c r="E297" s="45"/>
      <c r="F297" s="45"/>
      <c r="G297" s="45"/>
      <c r="H297" s="45"/>
      <c r="I297" s="45"/>
      <c r="J297" s="45"/>
      <c r="K297" s="45"/>
      <c r="L297" s="45"/>
      <c r="M297" s="45"/>
      <c r="N297" s="45"/>
    </row>
    <row r="298" spans="1:14" s="47" customFormat="1" ht="34.950000000000003" customHeight="1" x14ac:dyDescent="0.45">
      <c r="A298" s="51"/>
      <c r="B298" s="45"/>
      <c r="C298" s="45"/>
      <c r="D298" s="48"/>
      <c r="E298" s="45"/>
      <c r="F298" s="45"/>
      <c r="G298" s="45"/>
      <c r="H298" s="45"/>
      <c r="I298" s="45"/>
      <c r="J298" s="45"/>
      <c r="K298" s="45"/>
      <c r="L298" s="45"/>
      <c r="M298" s="45"/>
      <c r="N298" s="45"/>
    </row>
    <row r="299" spans="1:14" s="47" customFormat="1" ht="34.950000000000003" customHeight="1" x14ac:dyDescent="0.45">
      <c r="A299" s="51"/>
      <c r="B299" s="45"/>
      <c r="C299" s="45"/>
      <c r="D299" s="48"/>
      <c r="E299" s="45"/>
      <c r="F299" s="45"/>
      <c r="G299" s="45"/>
      <c r="H299" s="45"/>
      <c r="I299" s="45"/>
      <c r="J299" s="45"/>
      <c r="K299" s="45"/>
      <c r="L299" s="45"/>
      <c r="M299" s="45"/>
      <c r="N299" s="45"/>
    </row>
    <row r="300" spans="1:14" s="47" customFormat="1" ht="34.950000000000003" customHeight="1" x14ac:dyDescent="0.45">
      <c r="A300" s="51"/>
      <c r="B300" s="45"/>
      <c r="C300" s="45"/>
      <c r="D300" s="48"/>
      <c r="E300" s="45"/>
      <c r="F300" s="45"/>
      <c r="G300" s="45"/>
      <c r="H300" s="45"/>
      <c r="I300" s="45"/>
      <c r="J300" s="45"/>
      <c r="K300" s="45"/>
      <c r="L300" s="45"/>
      <c r="M300" s="45"/>
      <c r="N300" s="45"/>
    </row>
    <row r="301" spans="1:14" s="47" customFormat="1" ht="34.950000000000003" customHeight="1" x14ac:dyDescent="0.45">
      <c r="A301" s="51"/>
      <c r="B301" s="45"/>
      <c r="C301" s="45"/>
      <c r="D301" s="48"/>
      <c r="E301" s="45"/>
      <c r="F301" s="45"/>
      <c r="G301" s="45"/>
      <c r="H301" s="45"/>
      <c r="I301" s="45"/>
      <c r="J301" s="45"/>
      <c r="K301" s="45"/>
      <c r="L301" s="45"/>
      <c r="M301" s="45"/>
      <c r="N301" s="45"/>
    </row>
    <row r="302" spans="1:14" s="47" customFormat="1" ht="34.950000000000003" customHeight="1" x14ac:dyDescent="0.45">
      <c r="A302" s="51"/>
      <c r="B302" s="45"/>
      <c r="C302" s="45"/>
      <c r="D302" s="48"/>
      <c r="E302" s="45"/>
      <c r="F302" s="45"/>
      <c r="G302" s="45"/>
      <c r="H302" s="45"/>
      <c r="I302" s="45"/>
      <c r="J302" s="45"/>
      <c r="K302" s="45"/>
      <c r="L302" s="45"/>
      <c r="M302" s="45"/>
      <c r="N302" s="45"/>
    </row>
    <row r="303" spans="1:14" s="47" customFormat="1" ht="34.950000000000003" customHeight="1" x14ac:dyDescent="0.45">
      <c r="A303" s="51"/>
      <c r="B303" s="45"/>
      <c r="C303" s="45"/>
      <c r="D303" s="48"/>
      <c r="E303" s="45"/>
      <c r="F303" s="45"/>
      <c r="G303" s="45"/>
      <c r="H303" s="45"/>
      <c r="I303" s="45"/>
      <c r="J303" s="45"/>
      <c r="K303" s="45"/>
      <c r="L303" s="45"/>
      <c r="M303" s="45"/>
      <c r="N303" s="45"/>
    </row>
    <row r="304" spans="1:14" s="47" customFormat="1" ht="34.950000000000003" customHeight="1" x14ac:dyDescent="0.45">
      <c r="A304" s="51"/>
      <c r="B304" s="45"/>
      <c r="C304" s="45"/>
      <c r="D304" s="48"/>
      <c r="E304" s="45"/>
      <c r="F304" s="45"/>
      <c r="G304" s="45"/>
      <c r="H304" s="45"/>
      <c r="I304" s="45"/>
      <c r="J304" s="45"/>
      <c r="K304" s="45"/>
      <c r="L304" s="45"/>
      <c r="M304" s="45"/>
      <c r="N304" s="45"/>
    </row>
    <row r="305" spans="1:14" s="47" customFormat="1" ht="34.950000000000003" customHeight="1" x14ac:dyDescent="0.45">
      <c r="A305" s="51"/>
      <c r="B305" s="45"/>
      <c r="C305" s="45"/>
      <c r="D305" s="48"/>
      <c r="E305" s="45"/>
      <c r="F305" s="45"/>
      <c r="G305" s="45"/>
      <c r="H305" s="45"/>
      <c r="I305" s="45"/>
      <c r="J305" s="45"/>
      <c r="K305" s="45"/>
      <c r="L305" s="45"/>
      <c r="M305" s="45"/>
      <c r="N305" s="45"/>
    </row>
    <row r="306" spans="1:14" s="47" customFormat="1" ht="34.950000000000003" customHeight="1" x14ac:dyDescent="0.45">
      <c r="A306" s="51"/>
      <c r="B306" s="45"/>
      <c r="C306" s="45"/>
      <c r="D306" s="48"/>
      <c r="E306" s="45"/>
      <c r="F306" s="45"/>
      <c r="G306" s="45"/>
      <c r="H306" s="45"/>
      <c r="I306" s="45"/>
      <c r="J306" s="45"/>
      <c r="K306" s="45"/>
      <c r="L306" s="45"/>
      <c r="M306" s="45"/>
      <c r="N306" s="45"/>
    </row>
    <row r="307" spans="1:14" s="47" customFormat="1" ht="34.950000000000003" customHeight="1" x14ac:dyDescent="0.45">
      <c r="A307" s="51"/>
      <c r="B307" s="45"/>
      <c r="C307" s="45"/>
      <c r="D307" s="48"/>
      <c r="E307" s="45"/>
      <c r="F307" s="45"/>
      <c r="G307" s="45"/>
      <c r="H307" s="45"/>
      <c r="I307" s="45"/>
      <c r="J307" s="45"/>
      <c r="K307" s="45"/>
      <c r="L307" s="45"/>
      <c r="M307" s="45"/>
      <c r="N307" s="45"/>
    </row>
    <row r="308" spans="1:14" s="47" customFormat="1" ht="34.950000000000003" customHeight="1" x14ac:dyDescent="0.45">
      <c r="A308" s="51"/>
      <c r="B308" s="45"/>
      <c r="C308" s="45"/>
      <c r="D308" s="48"/>
      <c r="E308" s="45"/>
      <c r="F308" s="45"/>
      <c r="G308" s="45"/>
      <c r="H308" s="45"/>
      <c r="I308" s="45"/>
      <c r="J308" s="45"/>
      <c r="K308" s="45"/>
      <c r="L308" s="45"/>
      <c r="M308" s="45"/>
      <c r="N308" s="45"/>
    </row>
    <row r="309" spans="1:14" s="47" customFormat="1" ht="34.950000000000003" customHeight="1" x14ac:dyDescent="0.45">
      <c r="A309" s="51"/>
      <c r="B309" s="45"/>
      <c r="C309" s="45"/>
      <c r="D309" s="48"/>
      <c r="E309" s="45"/>
      <c r="F309" s="45"/>
      <c r="G309" s="45"/>
      <c r="H309" s="45"/>
      <c r="I309" s="45"/>
      <c r="J309" s="45"/>
      <c r="K309" s="45"/>
      <c r="L309" s="45"/>
      <c r="M309" s="45"/>
      <c r="N309" s="45"/>
    </row>
    <row r="310" spans="1:14" s="47" customFormat="1" ht="34.950000000000003" customHeight="1" x14ac:dyDescent="0.45">
      <c r="A310" s="51"/>
      <c r="B310" s="45"/>
      <c r="C310" s="45"/>
      <c r="D310" s="48"/>
      <c r="E310" s="45"/>
      <c r="F310" s="45"/>
      <c r="G310" s="45"/>
      <c r="H310" s="45"/>
      <c r="I310" s="45"/>
      <c r="J310" s="45"/>
      <c r="K310" s="45"/>
      <c r="L310" s="45"/>
      <c r="M310" s="45"/>
      <c r="N310" s="45"/>
    </row>
    <row r="311" spans="1:14" s="47" customFormat="1" ht="34.950000000000003" customHeight="1" x14ac:dyDescent="0.45">
      <c r="A311" s="51"/>
      <c r="B311" s="45"/>
      <c r="C311" s="45"/>
      <c r="D311" s="48"/>
      <c r="E311" s="45"/>
      <c r="F311" s="45"/>
      <c r="G311" s="45"/>
      <c r="H311" s="45"/>
      <c r="I311" s="45"/>
      <c r="J311" s="45"/>
      <c r="K311" s="45"/>
      <c r="L311" s="45"/>
      <c r="M311" s="45"/>
      <c r="N311" s="45"/>
    </row>
    <row r="312" spans="1:14" s="47" customFormat="1" ht="34.950000000000003" customHeight="1" x14ac:dyDescent="0.45">
      <c r="A312" s="51"/>
      <c r="B312" s="45"/>
      <c r="C312" s="45"/>
      <c r="D312" s="48"/>
      <c r="E312" s="45"/>
      <c r="F312" s="45"/>
      <c r="G312" s="45"/>
      <c r="H312" s="45"/>
      <c r="I312" s="45"/>
      <c r="J312" s="45"/>
      <c r="K312" s="45"/>
      <c r="L312" s="45"/>
      <c r="M312" s="45"/>
      <c r="N312" s="45"/>
    </row>
    <row r="313" spans="1:14" s="47" customFormat="1" ht="34.950000000000003" customHeight="1" x14ac:dyDescent="0.45">
      <c r="A313" s="51"/>
      <c r="B313" s="45"/>
      <c r="C313" s="45"/>
      <c r="D313" s="48"/>
      <c r="E313" s="45"/>
      <c r="F313" s="45"/>
      <c r="G313" s="45"/>
      <c r="H313" s="45"/>
      <c r="I313" s="45"/>
      <c r="J313" s="45"/>
      <c r="K313" s="45"/>
      <c r="L313" s="45"/>
      <c r="M313" s="45"/>
      <c r="N313" s="45"/>
    </row>
    <row r="314" spans="1:14" s="47" customFormat="1" ht="34.950000000000003" customHeight="1" x14ac:dyDescent="0.45">
      <c r="A314" s="51"/>
      <c r="B314" s="45"/>
      <c r="C314" s="45"/>
      <c r="D314" s="48"/>
      <c r="E314" s="45"/>
      <c r="F314" s="45"/>
      <c r="G314" s="45"/>
      <c r="H314" s="45"/>
      <c r="I314" s="45"/>
      <c r="J314" s="45"/>
      <c r="K314" s="45"/>
      <c r="L314" s="45"/>
      <c r="M314" s="45"/>
      <c r="N314" s="45"/>
    </row>
    <row r="315" spans="1:14" s="47" customFormat="1" ht="34.950000000000003" customHeight="1" x14ac:dyDescent="0.45">
      <c r="A315" s="51"/>
      <c r="B315" s="45"/>
      <c r="C315" s="45"/>
      <c r="D315" s="48"/>
      <c r="E315" s="45"/>
      <c r="F315" s="45"/>
      <c r="G315" s="45"/>
      <c r="H315" s="45"/>
      <c r="I315" s="45"/>
      <c r="J315" s="45"/>
      <c r="K315" s="45"/>
      <c r="L315" s="45"/>
      <c r="M315" s="45"/>
      <c r="N315" s="45"/>
    </row>
    <row r="316" spans="1:14" s="47" customFormat="1" ht="34.950000000000003" customHeight="1" x14ac:dyDescent="0.45">
      <c r="A316" s="51"/>
      <c r="B316" s="45"/>
      <c r="C316" s="45"/>
      <c r="D316" s="48"/>
      <c r="E316" s="45"/>
      <c r="F316" s="45"/>
      <c r="G316" s="45"/>
      <c r="H316" s="45"/>
      <c r="I316" s="45"/>
      <c r="J316" s="45"/>
      <c r="K316" s="45"/>
      <c r="L316" s="45"/>
      <c r="M316" s="45"/>
      <c r="N316" s="45"/>
    </row>
    <row r="317" spans="1:14" s="47" customFormat="1" ht="34.950000000000003" customHeight="1" x14ac:dyDescent="0.45">
      <c r="A317" s="51"/>
      <c r="B317" s="45"/>
      <c r="C317" s="45"/>
      <c r="D317" s="48"/>
      <c r="E317" s="45"/>
      <c r="F317" s="45"/>
      <c r="G317" s="45"/>
      <c r="H317" s="45"/>
      <c r="I317" s="45"/>
      <c r="J317" s="45"/>
      <c r="K317" s="45"/>
      <c r="L317" s="45"/>
      <c r="M317" s="45"/>
      <c r="N317" s="45"/>
    </row>
    <row r="318" spans="1:14" s="47" customFormat="1" ht="34.950000000000003" customHeight="1" x14ac:dyDescent="0.45">
      <c r="A318" s="51"/>
      <c r="B318" s="45"/>
      <c r="C318" s="45"/>
      <c r="D318" s="48"/>
      <c r="E318" s="45"/>
      <c r="F318" s="45"/>
      <c r="G318" s="45"/>
      <c r="H318" s="45"/>
      <c r="I318" s="45"/>
      <c r="J318" s="45"/>
      <c r="K318" s="45"/>
      <c r="L318" s="45"/>
      <c r="M318" s="45"/>
      <c r="N318" s="45"/>
    </row>
    <row r="319" spans="1:14" s="47" customFormat="1" ht="34.950000000000003" customHeight="1" x14ac:dyDescent="0.45">
      <c r="A319" s="51"/>
      <c r="B319" s="45"/>
      <c r="C319" s="45"/>
      <c r="D319" s="48"/>
      <c r="E319" s="45"/>
      <c r="F319" s="45"/>
      <c r="G319" s="45"/>
      <c r="H319" s="45"/>
      <c r="I319" s="45"/>
      <c r="J319" s="45"/>
      <c r="K319" s="45"/>
      <c r="L319" s="45"/>
      <c r="M319" s="45"/>
      <c r="N319" s="45"/>
    </row>
    <row r="320" spans="1:14" s="47" customFormat="1" ht="34.950000000000003" customHeight="1" x14ac:dyDescent="0.4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</row>
    <row r="321" spans="1:14" s="47" customFormat="1" ht="34.950000000000003" customHeight="1" x14ac:dyDescent="0.45">
      <c r="A321" s="51"/>
      <c r="B321" s="45"/>
      <c r="C321" s="45"/>
      <c r="D321" s="48"/>
      <c r="E321" s="45"/>
      <c r="F321" s="45"/>
      <c r="G321" s="45"/>
      <c r="H321" s="45"/>
      <c r="I321" s="45"/>
      <c r="J321" s="45"/>
      <c r="K321" s="45"/>
      <c r="L321" s="45"/>
      <c r="M321" s="45"/>
      <c r="N321" s="45"/>
    </row>
    <row r="322" spans="1:14" s="47" customFormat="1" ht="34.950000000000003" customHeight="1" x14ac:dyDescent="0.45">
      <c r="A322" s="51"/>
      <c r="B322" s="45"/>
      <c r="C322" s="45"/>
      <c r="D322" s="48"/>
      <c r="E322" s="45"/>
      <c r="F322" s="45"/>
      <c r="G322" s="45"/>
      <c r="H322" s="45"/>
      <c r="I322" s="45"/>
      <c r="J322" s="45"/>
      <c r="K322" s="45"/>
      <c r="L322" s="45"/>
      <c r="M322" s="45"/>
      <c r="N322" s="45"/>
    </row>
    <row r="323" spans="1:14" s="47" customFormat="1" ht="34.950000000000003" customHeight="1" x14ac:dyDescent="0.45">
      <c r="A323" s="51"/>
      <c r="B323" s="45"/>
      <c r="C323" s="45"/>
      <c r="D323" s="48"/>
      <c r="E323" s="45"/>
      <c r="F323" s="45"/>
      <c r="G323" s="45"/>
      <c r="H323" s="45"/>
      <c r="I323" s="45"/>
      <c r="J323" s="45"/>
      <c r="K323" s="45"/>
      <c r="L323" s="45"/>
      <c r="M323" s="45"/>
      <c r="N323" s="45"/>
    </row>
    <row r="324" spans="1:14" s="47" customFormat="1" ht="34.950000000000003" customHeight="1" x14ac:dyDescent="0.45">
      <c r="A324" s="51"/>
      <c r="B324" s="45"/>
      <c r="C324" s="45"/>
      <c r="D324" s="48"/>
      <c r="E324" s="45"/>
      <c r="F324" s="45"/>
      <c r="G324" s="45"/>
      <c r="H324" s="45"/>
      <c r="I324" s="45"/>
      <c r="J324" s="45"/>
      <c r="K324" s="45"/>
      <c r="L324" s="45"/>
      <c r="M324" s="45"/>
      <c r="N324" s="45"/>
    </row>
    <row r="325" spans="1:14" s="47" customFormat="1" ht="34.950000000000003" customHeight="1" x14ac:dyDescent="0.45">
      <c r="A325" s="51"/>
      <c r="B325" s="45"/>
      <c r="C325" s="45"/>
      <c r="D325" s="48"/>
      <c r="E325" s="45"/>
      <c r="F325" s="45"/>
      <c r="G325" s="45"/>
      <c r="H325" s="45"/>
      <c r="I325" s="45"/>
      <c r="J325" s="45"/>
      <c r="K325" s="45"/>
      <c r="L325" s="45"/>
      <c r="M325" s="45"/>
      <c r="N325" s="45"/>
    </row>
    <row r="326" spans="1:14" s="47" customFormat="1" ht="34.950000000000003" customHeight="1" x14ac:dyDescent="0.45">
      <c r="A326" s="51"/>
      <c r="B326" s="45"/>
      <c r="C326" s="45"/>
      <c r="D326" s="48"/>
      <c r="E326" s="45"/>
      <c r="F326" s="45"/>
      <c r="G326" s="45"/>
      <c r="H326" s="45"/>
      <c r="I326" s="45"/>
      <c r="J326" s="45"/>
      <c r="K326" s="45"/>
      <c r="L326" s="45"/>
      <c r="M326" s="45"/>
      <c r="N326" s="45"/>
    </row>
    <row r="327" spans="1:14" s="47" customFormat="1" ht="34.950000000000003" customHeight="1" x14ac:dyDescent="0.45">
      <c r="A327" s="51"/>
      <c r="B327" s="45"/>
      <c r="C327" s="45"/>
      <c r="D327" s="48"/>
      <c r="E327" s="45"/>
      <c r="F327" s="45"/>
      <c r="G327" s="45"/>
      <c r="H327" s="45"/>
      <c r="I327" s="45"/>
      <c r="J327" s="45"/>
      <c r="K327" s="45"/>
      <c r="L327" s="45"/>
      <c r="M327" s="45"/>
      <c r="N327" s="45"/>
    </row>
    <row r="328" spans="1:14" s="47" customFormat="1" ht="34.950000000000003" customHeight="1" x14ac:dyDescent="0.45">
      <c r="A328" s="51"/>
      <c r="B328" s="45"/>
      <c r="C328" s="45"/>
      <c r="D328" s="48"/>
      <c r="E328" s="45"/>
      <c r="F328" s="45"/>
      <c r="G328" s="45"/>
      <c r="H328" s="45"/>
      <c r="I328" s="45"/>
      <c r="J328" s="45"/>
      <c r="K328" s="45"/>
      <c r="L328" s="45"/>
      <c r="M328" s="45"/>
      <c r="N328" s="45"/>
    </row>
    <row r="329" spans="1:14" s="47" customFormat="1" ht="34.950000000000003" customHeight="1" x14ac:dyDescent="0.45">
      <c r="A329" s="51"/>
      <c r="B329" s="45"/>
      <c r="C329" s="45"/>
      <c r="D329" s="48"/>
      <c r="E329" s="45"/>
      <c r="F329" s="45"/>
      <c r="G329" s="45"/>
      <c r="H329" s="45"/>
      <c r="I329" s="45"/>
      <c r="J329" s="45"/>
      <c r="K329" s="45"/>
      <c r="L329" s="45"/>
      <c r="M329" s="45"/>
      <c r="N329" s="45"/>
    </row>
    <row r="330" spans="1:14" s="47" customFormat="1" ht="34.950000000000003" customHeight="1" x14ac:dyDescent="0.45">
      <c r="A330" s="51"/>
      <c r="B330" s="45"/>
      <c r="C330" s="45"/>
      <c r="D330" s="48"/>
      <c r="E330" s="45"/>
      <c r="F330" s="45"/>
      <c r="G330" s="45"/>
      <c r="H330" s="45"/>
      <c r="I330" s="45"/>
      <c r="J330" s="45"/>
      <c r="K330" s="45"/>
      <c r="L330" s="45"/>
      <c r="M330" s="45"/>
      <c r="N330" s="45"/>
    </row>
    <row r="331" spans="1:14" s="47" customFormat="1" ht="34.950000000000003" customHeight="1" x14ac:dyDescent="0.45">
      <c r="A331" s="51"/>
      <c r="B331" s="45"/>
      <c r="C331" s="45"/>
      <c r="D331" s="48"/>
      <c r="E331" s="45"/>
      <c r="F331" s="45"/>
      <c r="G331" s="45"/>
      <c r="H331" s="45"/>
      <c r="I331" s="45"/>
      <c r="J331" s="45"/>
      <c r="K331" s="45"/>
      <c r="L331" s="45"/>
      <c r="M331" s="45"/>
      <c r="N331" s="45"/>
    </row>
    <row r="332" spans="1:14" s="47" customFormat="1" ht="34.950000000000003" customHeight="1" x14ac:dyDescent="0.45">
      <c r="A332" s="51"/>
      <c r="B332" s="45"/>
      <c r="C332" s="45"/>
      <c r="D332" s="48"/>
      <c r="E332" s="45"/>
      <c r="F332" s="45"/>
      <c r="G332" s="45"/>
      <c r="H332" s="45"/>
      <c r="I332" s="45"/>
      <c r="J332" s="45"/>
      <c r="K332" s="45"/>
      <c r="L332" s="45"/>
      <c r="M332" s="45"/>
      <c r="N332" s="45"/>
    </row>
    <row r="333" spans="1:14" s="47" customFormat="1" ht="34.950000000000003" customHeight="1" x14ac:dyDescent="0.45">
      <c r="A333" s="51"/>
      <c r="B333" s="45"/>
      <c r="C333" s="45"/>
      <c r="D333" s="48"/>
      <c r="E333" s="45"/>
      <c r="F333" s="45"/>
      <c r="G333" s="45"/>
      <c r="H333" s="45"/>
      <c r="I333" s="45"/>
      <c r="J333" s="45"/>
      <c r="K333" s="45"/>
      <c r="L333" s="45"/>
      <c r="M333" s="45"/>
      <c r="N333" s="45"/>
    </row>
    <row r="334" spans="1:14" s="47" customFormat="1" ht="34.950000000000003" customHeight="1" x14ac:dyDescent="0.45">
      <c r="A334" s="51"/>
      <c r="B334" s="45"/>
      <c r="C334" s="45"/>
      <c r="D334" s="48"/>
      <c r="E334" s="45"/>
      <c r="F334" s="45"/>
      <c r="G334" s="45"/>
      <c r="H334" s="45"/>
      <c r="I334" s="45"/>
      <c r="J334" s="45"/>
      <c r="K334" s="45"/>
      <c r="L334" s="45"/>
      <c r="M334" s="45"/>
      <c r="N334" s="45"/>
    </row>
    <row r="335" spans="1:14" s="47" customFormat="1" ht="34.950000000000003" customHeight="1" x14ac:dyDescent="0.45">
      <c r="A335" s="51"/>
      <c r="B335" s="45"/>
      <c r="C335" s="45"/>
      <c r="D335" s="48"/>
      <c r="E335" s="45"/>
      <c r="F335" s="45"/>
      <c r="G335" s="45"/>
      <c r="H335" s="45"/>
      <c r="I335" s="45"/>
      <c r="J335" s="45"/>
      <c r="K335" s="45"/>
      <c r="L335" s="45"/>
      <c r="M335" s="45"/>
      <c r="N335" s="45"/>
    </row>
    <row r="336" spans="1:14" s="47" customFormat="1" ht="34.950000000000003" customHeight="1" x14ac:dyDescent="0.45">
      <c r="A336" s="51"/>
      <c r="B336" s="45"/>
      <c r="C336" s="45"/>
      <c r="D336" s="48"/>
      <c r="E336" s="45"/>
      <c r="F336" s="45"/>
      <c r="G336" s="45"/>
      <c r="H336" s="45"/>
      <c r="I336" s="45"/>
      <c r="J336" s="45"/>
      <c r="K336" s="45"/>
      <c r="L336" s="45"/>
      <c r="M336" s="45"/>
      <c r="N336" s="45"/>
    </row>
    <row r="337" spans="1:14" s="47" customFormat="1" ht="34.950000000000003" customHeight="1" x14ac:dyDescent="0.45">
      <c r="A337" s="51"/>
      <c r="B337" s="45"/>
      <c r="C337" s="45"/>
      <c r="D337" s="48"/>
      <c r="E337" s="45"/>
      <c r="F337" s="45"/>
      <c r="G337" s="45"/>
      <c r="H337" s="45"/>
      <c r="I337" s="45"/>
      <c r="J337" s="45"/>
      <c r="K337" s="45"/>
      <c r="L337" s="45"/>
      <c r="M337" s="45"/>
      <c r="N337" s="45"/>
    </row>
    <row r="338" spans="1:14" s="47" customFormat="1" ht="34.950000000000003" customHeight="1" x14ac:dyDescent="0.45">
      <c r="A338" s="51"/>
      <c r="B338" s="45"/>
      <c r="C338" s="45"/>
      <c r="D338" s="48"/>
      <c r="E338" s="45"/>
      <c r="F338" s="45"/>
      <c r="G338" s="45"/>
      <c r="H338" s="45"/>
      <c r="I338" s="45"/>
      <c r="J338" s="45"/>
      <c r="K338" s="45"/>
      <c r="L338" s="45"/>
      <c r="M338" s="45"/>
      <c r="N338" s="45"/>
    </row>
    <row r="339" spans="1:14" s="47" customFormat="1" ht="34.950000000000003" customHeight="1" x14ac:dyDescent="0.45">
      <c r="A339" s="51"/>
      <c r="B339" s="45"/>
      <c r="C339" s="45"/>
      <c r="D339" s="48"/>
      <c r="E339" s="45"/>
      <c r="F339" s="45"/>
      <c r="G339" s="45"/>
      <c r="H339" s="45"/>
      <c r="I339" s="45"/>
      <c r="J339" s="45"/>
      <c r="K339" s="45"/>
      <c r="L339" s="45"/>
      <c r="M339" s="45"/>
      <c r="N339" s="45"/>
    </row>
    <row r="340" spans="1:14" s="47" customFormat="1" ht="34.950000000000003" customHeight="1" x14ac:dyDescent="0.45">
      <c r="A340" s="51"/>
      <c r="B340" s="45"/>
      <c r="C340" s="45"/>
      <c r="D340" s="48"/>
      <c r="E340" s="45"/>
      <c r="F340" s="45"/>
      <c r="G340" s="45"/>
      <c r="H340" s="45"/>
      <c r="I340" s="45"/>
      <c r="J340" s="45"/>
      <c r="K340" s="45"/>
      <c r="L340" s="45"/>
      <c r="M340" s="45"/>
      <c r="N340" s="45"/>
    </row>
    <row r="341" spans="1:14" s="47" customFormat="1" ht="34.950000000000003" customHeight="1" x14ac:dyDescent="0.45">
      <c r="A341" s="51"/>
      <c r="B341" s="45"/>
      <c r="C341" s="45"/>
      <c r="D341" s="48"/>
      <c r="E341" s="45"/>
      <c r="F341" s="45"/>
      <c r="G341" s="45"/>
      <c r="H341" s="45"/>
      <c r="I341" s="45"/>
      <c r="J341" s="45"/>
      <c r="K341" s="45"/>
      <c r="L341" s="45"/>
      <c r="M341" s="45"/>
      <c r="N341" s="45"/>
    </row>
    <row r="342" spans="1:14" s="47" customFormat="1" ht="34.950000000000003" customHeight="1" x14ac:dyDescent="0.45">
      <c r="A342" s="51"/>
      <c r="B342" s="45"/>
      <c r="C342" s="45"/>
      <c r="D342" s="48"/>
      <c r="E342" s="45"/>
      <c r="F342" s="45"/>
      <c r="G342" s="45"/>
      <c r="H342" s="45"/>
      <c r="I342" s="45"/>
      <c r="J342" s="45"/>
      <c r="K342" s="45"/>
      <c r="L342" s="45"/>
      <c r="M342" s="45"/>
      <c r="N342" s="45"/>
    </row>
    <row r="343" spans="1:14" s="47" customFormat="1" ht="34.950000000000003" customHeight="1" x14ac:dyDescent="0.45">
      <c r="A343" s="51"/>
      <c r="B343" s="45"/>
      <c r="C343" s="45"/>
      <c r="D343" s="48"/>
      <c r="E343" s="45"/>
      <c r="F343" s="45"/>
      <c r="G343" s="45"/>
      <c r="H343" s="45"/>
      <c r="I343" s="45"/>
      <c r="J343" s="45"/>
      <c r="K343" s="45"/>
      <c r="L343" s="45"/>
      <c r="M343" s="45"/>
      <c r="N343" s="45"/>
    </row>
    <row r="344" spans="1:14" s="47" customFormat="1" ht="34.950000000000003" customHeight="1" x14ac:dyDescent="0.45">
      <c r="A344" s="51"/>
      <c r="B344" s="45"/>
      <c r="C344" s="45"/>
      <c r="D344" s="48"/>
      <c r="E344" s="45"/>
      <c r="F344" s="45"/>
      <c r="G344" s="45"/>
      <c r="H344" s="45"/>
      <c r="I344" s="45"/>
      <c r="J344" s="45"/>
      <c r="K344" s="45"/>
      <c r="L344" s="45"/>
      <c r="M344" s="45"/>
      <c r="N344" s="45"/>
    </row>
    <row r="345" spans="1:14" s="47" customFormat="1" ht="34.950000000000003" customHeight="1" x14ac:dyDescent="0.45">
      <c r="A345" s="51"/>
      <c r="B345" s="45"/>
      <c r="C345" s="45"/>
      <c r="D345" s="48"/>
      <c r="E345" s="45"/>
      <c r="F345" s="45"/>
      <c r="G345" s="45"/>
      <c r="H345" s="45"/>
      <c r="I345" s="45"/>
      <c r="J345" s="45"/>
      <c r="K345" s="45"/>
      <c r="L345" s="45"/>
      <c r="M345" s="45"/>
      <c r="N345" s="45"/>
    </row>
    <row r="346" spans="1:14" s="47" customFormat="1" ht="34.950000000000003" customHeight="1" x14ac:dyDescent="0.45">
      <c r="A346" s="51"/>
      <c r="B346" s="45"/>
      <c r="C346" s="45"/>
      <c r="D346" s="48"/>
      <c r="E346" s="45"/>
      <c r="F346" s="45"/>
      <c r="G346" s="45"/>
      <c r="H346" s="45"/>
      <c r="I346" s="45"/>
      <c r="J346" s="45"/>
      <c r="K346" s="45"/>
      <c r="L346" s="45"/>
      <c r="M346" s="45"/>
      <c r="N346" s="45"/>
    </row>
    <row r="347" spans="1:14" s="47" customFormat="1" ht="34.950000000000003" customHeight="1" x14ac:dyDescent="0.45">
      <c r="A347" s="51"/>
      <c r="B347" s="45"/>
      <c r="C347" s="45"/>
      <c r="D347" s="48"/>
      <c r="E347" s="45"/>
      <c r="F347" s="45"/>
      <c r="G347" s="45"/>
      <c r="H347" s="45"/>
      <c r="I347" s="45"/>
      <c r="J347" s="45"/>
      <c r="K347" s="45"/>
      <c r="L347" s="45"/>
      <c r="M347" s="45"/>
      <c r="N347" s="45"/>
    </row>
    <row r="348" spans="1:14" s="47" customFormat="1" ht="34.950000000000003" customHeight="1" x14ac:dyDescent="0.45">
      <c r="A348" s="51"/>
      <c r="B348" s="45"/>
      <c r="C348" s="45"/>
      <c r="D348" s="48"/>
      <c r="E348" s="45"/>
      <c r="F348" s="45"/>
      <c r="G348" s="45"/>
      <c r="H348" s="45"/>
      <c r="I348" s="45"/>
      <c r="J348" s="45"/>
      <c r="K348" s="45"/>
      <c r="L348" s="45"/>
      <c r="M348" s="45"/>
      <c r="N348" s="45"/>
    </row>
    <row r="349" spans="1:14" s="47" customFormat="1" ht="34.950000000000003" customHeight="1" x14ac:dyDescent="0.45">
      <c r="A349" s="51"/>
      <c r="B349" s="45"/>
      <c r="C349" s="45"/>
      <c r="D349" s="48"/>
      <c r="E349" s="45"/>
      <c r="F349" s="45"/>
      <c r="G349" s="45"/>
      <c r="H349" s="45"/>
      <c r="I349" s="45"/>
      <c r="J349" s="45"/>
      <c r="K349" s="45"/>
      <c r="L349" s="45"/>
      <c r="M349" s="45"/>
      <c r="N349" s="45"/>
    </row>
    <row r="350" spans="1:14" s="47" customFormat="1" ht="34.950000000000003" customHeight="1" x14ac:dyDescent="0.45">
      <c r="A350" s="51"/>
      <c r="B350" s="45"/>
      <c r="C350" s="45"/>
      <c r="D350" s="48"/>
      <c r="E350" s="45"/>
      <c r="F350" s="45"/>
      <c r="G350" s="45"/>
      <c r="H350" s="45"/>
      <c r="I350" s="45"/>
      <c r="J350" s="45"/>
      <c r="K350" s="45"/>
      <c r="L350" s="45"/>
      <c r="M350" s="45"/>
      <c r="N350" s="45"/>
    </row>
    <row r="351" spans="1:14" s="47" customFormat="1" ht="34.950000000000003" customHeight="1" x14ac:dyDescent="0.45">
      <c r="A351" s="51"/>
      <c r="B351" s="45"/>
      <c r="C351" s="45"/>
      <c r="D351" s="48"/>
      <c r="E351" s="45"/>
      <c r="F351" s="45"/>
      <c r="G351" s="45"/>
      <c r="H351" s="45"/>
      <c r="I351" s="45"/>
      <c r="J351" s="45"/>
      <c r="K351" s="45"/>
      <c r="L351" s="45"/>
      <c r="M351" s="45"/>
      <c r="N351" s="45"/>
    </row>
    <row r="352" spans="1:14" s="47" customFormat="1" ht="34.950000000000003" customHeight="1" x14ac:dyDescent="0.45">
      <c r="A352" s="51"/>
      <c r="B352" s="45"/>
      <c r="C352" s="45"/>
      <c r="D352" s="48"/>
      <c r="E352" s="45"/>
      <c r="F352" s="45"/>
      <c r="G352" s="45"/>
      <c r="H352" s="45"/>
      <c r="I352" s="45"/>
      <c r="J352" s="45"/>
      <c r="K352" s="45"/>
      <c r="L352" s="45"/>
      <c r="M352" s="45"/>
      <c r="N352" s="45"/>
    </row>
    <row r="353" spans="1:14" s="47" customFormat="1" ht="34.950000000000003" customHeight="1" x14ac:dyDescent="0.45">
      <c r="A353" s="51"/>
      <c r="B353" s="45"/>
      <c r="C353" s="45"/>
      <c r="D353" s="48"/>
      <c r="E353" s="45"/>
      <c r="F353" s="45"/>
      <c r="G353" s="45"/>
      <c r="H353" s="45"/>
      <c r="I353" s="45"/>
      <c r="J353" s="45"/>
      <c r="K353" s="45"/>
      <c r="L353" s="45"/>
      <c r="M353" s="45"/>
      <c r="N353" s="45"/>
    </row>
    <row r="354" spans="1:14" s="47" customFormat="1" ht="34.950000000000003" customHeight="1" x14ac:dyDescent="0.45">
      <c r="A354" s="51"/>
      <c r="B354" s="45"/>
      <c r="C354" s="45"/>
      <c r="D354" s="48"/>
      <c r="E354" s="45"/>
      <c r="F354" s="45"/>
      <c r="G354" s="45"/>
      <c r="H354" s="45"/>
      <c r="I354" s="45"/>
      <c r="J354" s="45"/>
      <c r="K354" s="45"/>
      <c r="L354" s="45"/>
      <c r="M354" s="45"/>
      <c r="N354" s="45"/>
    </row>
    <row r="355" spans="1:14" s="47" customFormat="1" ht="34.950000000000003" customHeight="1" x14ac:dyDescent="0.45">
      <c r="A355" s="51"/>
      <c r="B355" s="45"/>
      <c r="C355" s="45"/>
      <c r="D355" s="48"/>
      <c r="E355" s="45"/>
      <c r="F355" s="45"/>
      <c r="G355" s="45"/>
      <c r="H355" s="45"/>
      <c r="I355" s="45"/>
      <c r="J355" s="45"/>
      <c r="K355" s="45"/>
      <c r="L355" s="45"/>
      <c r="M355" s="45"/>
      <c r="N355" s="45"/>
    </row>
    <row r="356" spans="1:14" s="47" customFormat="1" ht="34.950000000000003" customHeight="1" x14ac:dyDescent="0.45">
      <c r="A356" s="51"/>
      <c r="B356" s="45"/>
      <c r="C356" s="45"/>
      <c r="D356" s="48"/>
      <c r="E356" s="45"/>
      <c r="F356" s="45"/>
      <c r="G356" s="45"/>
      <c r="H356" s="45"/>
      <c r="I356" s="45"/>
      <c r="J356" s="45"/>
      <c r="K356" s="45"/>
      <c r="L356" s="45"/>
      <c r="M356" s="45"/>
      <c r="N356" s="45"/>
    </row>
    <row r="357" spans="1:14" s="47" customFormat="1" ht="34.950000000000003" customHeight="1" x14ac:dyDescent="0.45">
      <c r="A357" s="51"/>
      <c r="B357" s="45"/>
      <c r="C357" s="45"/>
      <c r="D357" s="48"/>
      <c r="E357" s="45"/>
      <c r="F357" s="45"/>
      <c r="G357" s="45"/>
      <c r="H357" s="45"/>
      <c r="I357" s="45"/>
      <c r="J357" s="45"/>
      <c r="K357" s="45"/>
      <c r="L357" s="45"/>
      <c r="M357" s="45"/>
      <c r="N357" s="45"/>
    </row>
    <row r="358" spans="1:14" s="47" customFormat="1" ht="34.950000000000003" customHeight="1" x14ac:dyDescent="0.45">
      <c r="A358" s="51"/>
      <c r="B358" s="45"/>
      <c r="C358" s="45"/>
      <c r="D358" s="48"/>
      <c r="E358" s="45"/>
      <c r="F358" s="45"/>
      <c r="G358" s="45"/>
      <c r="H358" s="45"/>
      <c r="I358" s="45"/>
      <c r="J358" s="45"/>
      <c r="K358" s="45"/>
      <c r="L358" s="45"/>
      <c r="M358" s="45"/>
      <c r="N358" s="45"/>
    </row>
    <row r="359" spans="1:14" s="47" customFormat="1" ht="34.950000000000003" customHeight="1" x14ac:dyDescent="0.45">
      <c r="A359" s="51"/>
      <c r="B359" s="45"/>
      <c r="C359" s="45"/>
      <c r="D359" s="48"/>
      <c r="E359" s="45"/>
      <c r="F359" s="45"/>
      <c r="G359" s="45"/>
      <c r="H359" s="45"/>
      <c r="I359" s="45"/>
      <c r="J359" s="45"/>
      <c r="K359" s="45"/>
      <c r="L359" s="45"/>
      <c r="M359" s="45"/>
      <c r="N359" s="45"/>
    </row>
    <row r="360" spans="1:14" s="47" customFormat="1" ht="34.950000000000003" customHeight="1" x14ac:dyDescent="0.45">
      <c r="A360" s="51"/>
      <c r="B360" s="45"/>
      <c r="C360" s="45"/>
      <c r="D360" s="48"/>
      <c r="E360" s="45"/>
      <c r="F360" s="45"/>
      <c r="G360" s="45"/>
      <c r="H360" s="45"/>
      <c r="I360" s="45"/>
      <c r="J360" s="45"/>
      <c r="K360" s="45"/>
      <c r="L360" s="45"/>
      <c r="M360" s="45"/>
      <c r="N360" s="45"/>
    </row>
    <row r="361" spans="1:14" s="47" customFormat="1" ht="34.950000000000003" customHeight="1" x14ac:dyDescent="0.45">
      <c r="A361" s="51"/>
      <c r="B361" s="45"/>
      <c r="C361" s="45"/>
      <c r="D361" s="48"/>
      <c r="E361" s="45"/>
      <c r="F361" s="45"/>
      <c r="G361" s="45"/>
      <c r="H361" s="45"/>
      <c r="I361" s="45"/>
      <c r="J361" s="45"/>
      <c r="K361" s="45"/>
      <c r="L361" s="45"/>
      <c r="M361" s="45"/>
      <c r="N361" s="45"/>
    </row>
    <row r="362" spans="1:14" s="47" customFormat="1" ht="34.950000000000003" customHeight="1" x14ac:dyDescent="0.45">
      <c r="A362" s="51"/>
      <c r="B362" s="45"/>
      <c r="C362" s="45"/>
      <c r="D362" s="48"/>
      <c r="E362" s="45"/>
      <c r="F362" s="45"/>
      <c r="G362" s="45"/>
      <c r="H362" s="45"/>
      <c r="I362" s="45"/>
      <c r="J362" s="45"/>
      <c r="K362" s="45"/>
      <c r="L362" s="45"/>
      <c r="M362" s="45"/>
      <c r="N362" s="45"/>
    </row>
    <row r="363" spans="1:14" s="47" customFormat="1" ht="34.950000000000003" customHeight="1" x14ac:dyDescent="0.45">
      <c r="A363" s="51"/>
      <c r="B363" s="45"/>
      <c r="C363" s="45"/>
      <c r="D363" s="48"/>
      <c r="E363" s="45"/>
      <c r="F363" s="45"/>
      <c r="G363" s="45"/>
      <c r="H363" s="45"/>
      <c r="I363" s="45"/>
      <c r="J363" s="45"/>
      <c r="K363" s="45"/>
      <c r="L363" s="45"/>
      <c r="M363" s="45"/>
      <c r="N363" s="45"/>
    </row>
    <row r="364" spans="1:14" s="47" customFormat="1" ht="34.950000000000003" customHeight="1" x14ac:dyDescent="0.45">
      <c r="A364" s="51"/>
      <c r="B364" s="45"/>
      <c r="C364" s="45"/>
      <c r="D364" s="48"/>
      <c r="E364" s="45"/>
      <c r="F364" s="45"/>
      <c r="G364" s="45"/>
      <c r="H364" s="45"/>
      <c r="I364" s="45"/>
      <c r="J364" s="45"/>
      <c r="K364" s="45"/>
      <c r="L364" s="45"/>
      <c r="M364" s="45"/>
      <c r="N364" s="45"/>
    </row>
    <row r="365" spans="1:14" s="47" customFormat="1" ht="34.950000000000003" customHeight="1" x14ac:dyDescent="0.45">
      <c r="A365" s="51"/>
      <c r="B365" s="45"/>
      <c r="C365" s="45"/>
      <c r="D365" s="48"/>
      <c r="E365" s="45"/>
      <c r="F365" s="45"/>
      <c r="G365" s="45"/>
      <c r="H365" s="45"/>
      <c r="I365" s="45"/>
      <c r="J365" s="45"/>
      <c r="K365" s="45"/>
      <c r="L365" s="45"/>
      <c r="M365" s="45"/>
      <c r="N365" s="45"/>
    </row>
    <row r="366" spans="1:14" s="47" customFormat="1" ht="34.950000000000003" customHeight="1" x14ac:dyDescent="0.45">
      <c r="A366" s="51"/>
      <c r="B366" s="45"/>
      <c r="C366" s="45"/>
      <c r="D366" s="48"/>
      <c r="E366" s="45"/>
      <c r="F366" s="45"/>
      <c r="G366" s="45"/>
      <c r="H366" s="45"/>
      <c r="I366" s="45"/>
      <c r="J366" s="45"/>
      <c r="K366" s="45"/>
      <c r="L366" s="45"/>
      <c r="M366" s="45"/>
      <c r="N366" s="45"/>
    </row>
    <row r="367" spans="1:14" s="47" customFormat="1" ht="34.950000000000003" customHeight="1" x14ac:dyDescent="0.45">
      <c r="A367" s="51"/>
      <c r="B367" s="45"/>
      <c r="C367" s="45"/>
      <c r="D367" s="48"/>
      <c r="E367" s="45"/>
      <c r="F367" s="45"/>
      <c r="G367" s="45"/>
      <c r="H367" s="45"/>
      <c r="I367" s="45"/>
      <c r="J367" s="45"/>
      <c r="K367" s="45"/>
      <c r="L367" s="45"/>
      <c r="M367" s="45"/>
      <c r="N367" s="45"/>
    </row>
    <row r="368" spans="1:14" s="47" customFormat="1" ht="34.950000000000003" customHeight="1" x14ac:dyDescent="0.45">
      <c r="A368" s="51"/>
      <c r="B368" s="45"/>
      <c r="C368" s="45"/>
      <c r="D368" s="48"/>
      <c r="E368" s="45"/>
      <c r="F368" s="45"/>
      <c r="G368" s="45"/>
      <c r="H368" s="45"/>
      <c r="I368" s="45"/>
      <c r="J368" s="45"/>
      <c r="K368" s="45"/>
      <c r="L368" s="45"/>
      <c r="M368" s="45"/>
      <c r="N368" s="45"/>
    </row>
    <row r="369" spans="1:14" s="47" customFormat="1" ht="34.950000000000003" customHeight="1" x14ac:dyDescent="0.45">
      <c r="A369" s="51"/>
      <c r="B369" s="45"/>
      <c r="C369" s="45"/>
      <c r="D369" s="48"/>
      <c r="E369" s="45"/>
      <c r="F369" s="45"/>
      <c r="G369" s="45"/>
      <c r="H369" s="45"/>
      <c r="I369" s="45"/>
      <c r="J369" s="45"/>
      <c r="K369" s="45"/>
      <c r="L369" s="45"/>
      <c r="M369" s="45"/>
      <c r="N369" s="45"/>
    </row>
    <row r="370" spans="1:14" s="47" customFormat="1" ht="34.950000000000003" customHeight="1" x14ac:dyDescent="0.45">
      <c r="A370" s="51"/>
      <c r="B370" s="45"/>
      <c r="C370" s="45"/>
      <c r="D370" s="48"/>
      <c r="E370" s="45"/>
      <c r="F370" s="45"/>
      <c r="G370" s="45"/>
      <c r="H370" s="45"/>
      <c r="I370" s="45"/>
      <c r="J370" s="45"/>
      <c r="K370" s="45"/>
      <c r="L370" s="45"/>
      <c r="M370" s="45"/>
      <c r="N370" s="45"/>
    </row>
    <row r="371" spans="1:14" s="47" customFormat="1" ht="34.950000000000003" customHeight="1" x14ac:dyDescent="0.45">
      <c r="A371" s="51"/>
      <c r="B371" s="45"/>
      <c r="C371" s="45"/>
      <c r="D371" s="48"/>
      <c r="E371" s="45"/>
      <c r="F371" s="45"/>
      <c r="G371" s="45"/>
      <c r="H371" s="45"/>
      <c r="I371" s="45"/>
      <c r="J371" s="45"/>
      <c r="K371" s="45"/>
      <c r="L371" s="45"/>
      <c r="M371" s="45"/>
      <c r="N371" s="45"/>
    </row>
    <row r="372" spans="1:14" s="47" customFormat="1" ht="34.950000000000003" customHeight="1" x14ac:dyDescent="0.45">
      <c r="A372" s="51"/>
      <c r="B372" s="45"/>
      <c r="C372" s="45"/>
      <c r="D372" s="48"/>
      <c r="E372" s="45"/>
      <c r="F372" s="45"/>
      <c r="G372" s="45"/>
      <c r="H372" s="45"/>
      <c r="I372" s="45"/>
      <c r="J372" s="45"/>
      <c r="K372" s="45"/>
      <c r="L372" s="45"/>
      <c r="M372" s="45"/>
      <c r="N372" s="45"/>
    </row>
    <row r="373" spans="1:14" s="47" customFormat="1" ht="34.950000000000003" customHeight="1" x14ac:dyDescent="0.45">
      <c r="A373" s="51"/>
      <c r="B373" s="45"/>
      <c r="C373" s="45"/>
      <c r="D373" s="48"/>
      <c r="E373" s="45"/>
      <c r="F373" s="45"/>
      <c r="G373" s="45"/>
      <c r="H373" s="45"/>
      <c r="I373" s="45"/>
      <c r="J373" s="45"/>
      <c r="K373" s="45"/>
      <c r="L373" s="45"/>
      <c r="M373" s="45"/>
      <c r="N373" s="45"/>
    </row>
    <row r="374" spans="1:14" s="47" customFormat="1" ht="34.950000000000003" customHeight="1" x14ac:dyDescent="0.45">
      <c r="A374" s="51"/>
      <c r="B374" s="45"/>
      <c r="C374" s="45"/>
      <c r="D374" s="48"/>
      <c r="E374" s="45"/>
      <c r="F374" s="45"/>
      <c r="G374" s="45"/>
      <c r="H374" s="45"/>
      <c r="I374" s="45"/>
      <c r="J374" s="45"/>
      <c r="K374" s="45"/>
      <c r="L374" s="45"/>
      <c r="M374" s="45"/>
      <c r="N374" s="45"/>
    </row>
    <row r="375" spans="1:14" s="47" customFormat="1" ht="34.950000000000003" customHeight="1" x14ac:dyDescent="0.45">
      <c r="A375" s="51"/>
      <c r="B375" s="45"/>
      <c r="C375" s="45"/>
      <c r="D375" s="48"/>
      <c r="E375" s="45"/>
      <c r="F375" s="45"/>
      <c r="G375" s="45"/>
      <c r="H375" s="45"/>
      <c r="I375" s="45"/>
      <c r="J375" s="45"/>
      <c r="K375" s="45"/>
      <c r="L375" s="45"/>
      <c r="M375" s="45"/>
      <c r="N375" s="45"/>
    </row>
    <row r="376" spans="1:14" s="47" customFormat="1" ht="34.950000000000003" customHeight="1" x14ac:dyDescent="0.45">
      <c r="A376" s="51"/>
      <c r="B376" s="45"/>
      <c r="C376" s="45"/>
      <c r="D376" s="48"/>
      <c r="E376" s="45"/>
      <c r="F376" s="45"/>
      <c r="G376" s="45"/>
      <c r="H376" s="45"/>
      <c r="I376" s="45"/>
      <c r="J376" s="45"/>
      <c r="K376" s="45"/>
      <c r="L376" s="45"/>
      <c r="M376" s="45"/>
      <c r="N376" s="45"/>
    </row>
    <row r="377" spans="1:14" s="47" customFormat="1" ht="34.950000000000003" customHeight="1" x14ac:dyDescent="0.45">
      <c r="A377" s="51"/>
      <c r="B377" s="45"/>
      <c r="C377" s="45"/>
      <c r="D377" s="48"/>
      <c r="E377" s="45"/>
      <c r="F377" s="45"/>
      <c r="G377" s="45"/>
      <c r="H377" s="45"/>
      <c r="I377" s="45"/>
      <c r="J377" s="45"/>
      <c r="K377" s="45"/>
      <c r="L377" s="45"/>
      <c r="M377" s="45"/>
      <c r="N377" s="45"/>
    </row>
    <row r="378" spans="1:14" s="47" customFormat="1" ht="34.950000000000003" customHeight="1" x14ac:dyDescent="0.45">
      <c r="A378" s="51"/>
      <c r="B378" s="45"/>
      <c r="C378" s="45"/>
      <c r="D378" s="48"/>
      <c r="E378" s="45"/>
      <c r="F378" s="45"/>
      <c r="G378" s="45"/>
      <c r="H378" s="45"/>
      <c r="I378" s="45"/>
      <c r="J378" s="45"/>
      <c r="K378" s="45"/>
      <c r="L378" s="45"/>
      <c r="M378" s="45"/>
      <c r="N378" s="45"/>
    </row>
    <row r="379" spans="1:14" s="47" customFormat="1" ht="34.950000000000003" customHeight="1" x14ac:dyDescent="0.45">
      <c r="A379" s="51"/>
      <c r="B379" s="45"/>
      <c r="C379" s="45"/>
      <c r="D379" s="48"/>
      <c r="E379" s="45"/>
      <c r="F379" s="45"/>
      <c r="G379" s="45"/>
      <c r="H379" s="45"/>
      <c r="I379" s="45"/>
      <c r="J379" s="45"/>
      <c r="K379" s="45"/>
      <c r="L379" s="45"/>
      <c r="M379" s="45"/>
      <c r="N379" s="45"/>
    </row>
    <row r="380" spans="1:14" s="47" customFormat="1" ht="34.950000000000003" customHeight="1" x14ac:dyDescent="0.45">
      <c r="A380" s="51"/>
      <c r="B380" s="45"/>
      <c r="C380" s="45"/>
      <c r="D380" s="48"/>
      <c r="E380" s="45"/>
      <c r="F380" s="45"/>
      <c r="G380" s="45"/>
      <c r="H380" s="45"/>
      <c r="I380" s="45"/>
      <c r="J380" s="45"/>
      <c r="K380" s="45"/>
      <c r="L380" s="45"/>
      <c r="M380" s="45"/>
      <c r="N380" s="45"/>
    </row>
    <row r="381" spans="1:14" s="47" customFormat="1" ht="34.950000000000003" customHeight="1" x14ac:dyDescent="0.45">
      <c r="A381" s="51"/>
      <c r="B381" s="45"/>
      <c r="C381" s="45"/>
      <c r="D381" s="48"/>
      <c r="E381" s="45"/>
      <c r="F381" s="45"/>
      <c r="G381" s="45"/>
      <c r="H381" s="45"/>
      <c r="I381" s="45"/>
      <c r="J381" s="45"/>
      <c r="K381" s="45"/>
      <c r="L381" s="45"/>
      <c r="M381" s="45"/>
      <c r="N381" s="45"/>
    </row>
    <row r="382" spans="1:14" s="47" customFormat="1" ht="34.950000000000003" customHeight="1" x14ac:dyDescent="0.45">
      <c r="A382" s="51"/>
      <c r="B382" s="45"/>
      <c r="C382" s="45"/>
      <c r="D382" s="48"/>
      <c r="E382" s="45"/>
      <c r="F382" s="45"/>
      <c r="G382" s="45"/>
      <c r="H382" s="45"/>
      <c r="I382" s="45"/>
      <c r="J382" s="45"/>
      <c r="K382" s="45"/>
      <c r="L382" s="45"/>
      <c r="M382" s="45"/>
      <c r="N382" s="45"/>
    </row>
    <row r="383" spans="1:14" s="47" customFormat="1" ht="34.950000000000003" customHeight="1" x14ac:dyDescent="0.45">
      <c r="A383" s="51"/>
      <c r="B383" s="45"/>
      <c r="C383" s="45"/>
      <c r="D383" s="48"/>
      <c r="E383" s="45"/>
      <c r="F383" s="45"/>
      <c r="G383" s="45"/>
      <c r="H383" s="45"/>
      <c r="I383" s="45"/>
      <c r="J383" s="45"/>
      <c r="K383" s="45"/>
      <c r="L383" s="45"/>
      <c r="M383" s="45"/>
      <c r="N383" s="45"/>
    </row>
    <row r="384" spans="1:14" s="47" customFormat="1" ht="34.950000000000003" customHeight="1" x14ac:dyDescent="0.45">
      <c r="A384" s="51"/>
      <c r="B384" s="45"/>
      <c r="C384" s="45"/>
      <c r="D384" s="48"/>
      <c r="E384" s="45"/>
      <c r="F384" s="45"/>
      <c r="G384" s="45"/>
      <c r="H384" s="45"/>
      <c r="I384" s="45"/>
      <c r="J384" s="45"/>
      <c r="K384" s="45"/>
      <c r="L384" s="45"/>
      <c r="M384" s="45"/>
      <c r="N384" s="45"/>
    </row>
    <row r="385" spans="1:14" s="47" customFormat="1" ht="34.950000000000003" customHeight="1" x14ac:dyDescent="0.45">
      <c r="A385" s="51"/>
      <c r="B385" s="45"/>
      <c r="C385" s="45"/>
      <c r="D385" s="48"/>
      <c r="E385" s="45"/>
      <c r="F385" s="45"/>
      <c r="G385" s="45"/>
      <c r="H385" s="45"/>
      <c r="I385" s="45"/>
      <c r="J385" s="45"/>
      <c r="K385" s="45"/>
      <c r="L385" s="45"/>
      <c r="M385" s="45"/>
      <c r="N385" s="45"/>
    </row>
    <row r="386" spans="1:14" s="47" customFormat="1" ht="34.950000000000003" customHeight="1" x14ac:dyDescent="0.45">
      <c r="A386" s="51"/>
      <c r="B386" s="45"/>
      <c r="C386" s="45"/>
      <c r="D386" s="48"/>
      <c r="E386" s="45"/>
      <c r="F386" s="45"/>
      <c r="G386" s="45"/>
      <c r="H386" s="45"/>
      <c r="I386" s="45"/>
      <c r="J386" s="45"/>
      <c r="K386" s="45"/>
      <c r="L386" s="45"/>
      <c r="M386" s="45"/>
      <c r="N386" s="45"/>
    </row>
    <row r="387" spans="1:14" s="47" customFormat="1" ht="34.950000000000003" customHeight="1" x14ac:dyDescent="0.45">
      <c r="A387" s="51"/>
      <c r="B387" s="45"/>
      <c r="C387" s="45"/>
      <c r="D387" s="48"/>
      <c r="E387" s="45"/>
      <c r="F387" s="45"/>
      <c r="G387" s="45"/>
      <c r="H387" s="45"/>
      <c r="I387" s="45"/>
      <c r="J387" s="45"/>
      <c r="K387" s="45"/>
      <c r="L387" s="45"/>
      <c r="M387" s="45"/>
      <c r="N387" s="45"/>
    </row>
    <row r="388" spans="1:14" s="47" customFormat="1" ht="34.950000000000003" customHeight="1" x14ac:dyDescent="0.45">
      <c r="A388" s="51"/>
      <c r="B388" s="45"/>
      <c r="C388" s="45"/>
      <c r="D388" s="48"/>
      <c r="E388" s="45"/>
      <c r="F388" s="45"/>
      <c r="G388" s="45"/>
      <c r="H388" s="45"/>
      <c r="I388" s="45"/>
      <c r="J388" s="45"/>
      <c r="K388" s="45"/>
      <c r="L388" s="45"/>
      <c r="M388" s="45"/>
      <c r="N388" s="45"/>
    </row>
    <row r="389" spans="1:14" s="47" customFormat="1" ht="34.950000000000003" customHeight="1" x14ac:dyDescent="0.45">
      <c r="A389" s="51"/>
      <c r="B389" s="45"/>
      <c r="C389" s="45"/>
      <c r="D389" s="48"/>
      <c r="E389" s="45"/>
      <c r="F389" s="45"/>
      <c r="G389" s="45"/>
      <c r="H389" s="45"/>
      <c r="I389" s="45"/>
      <c r="J389" s="45"/>
      <c r="K389" s="45"/>
      <c r="L389" s="45"/>
      <c r="M389" s="45"/>
      <c r="N389" s="45"/>
    </row>
    <row r="390" spans="1:14" s="47" customFormat="1" ht="34.950000000000003" customHeight="1" x14ac:dyDescent="0.45">
      <c r="A390" s="51"/>
      <c r="B390" s="45"/>
      <c r="C390" s="45"/>
      <c r="D390" s="48"/>
      <c r="E390" s="45"/>
      <c r="F390" s="45"/>
      <c r="G390" s="45"/>
      <c r="H390" s="45"/>
      <c r="I390" s="45"/>
      <c r="J390" s="45"/>
      <c r="K390" s="45"/>
      <c r="L390" s="45"/>
      <c r="M390" s="45"/>
      <c r="N390" s="45"/>
    </row>
    <row r="391" spans="1:14" s="47" customFormat="1" ht="34.950000000000003" customHeight="1" x14ac:dyDescent="0.45">
      <c r="A391" s="51"/>
      <c r="B391" s="45"/>
      <c r="C391" s="45"/>
      <c r="D391" s="48"/>
      <c r="E391" s="45"/>
      <c r="F391" s="45"/>
      <c r="G391" s="45"/>
      <c r="H391" s="45"/>
      <c r="I391" s="45"/>
      <c r="J391" s="45"/>
      <c r="K391" s="45"/>
      <c r="L391" s="45"/>
      <c r="M391" s="45"/>
      <c r="N391" s="45"/>
    </row>
    <row r="392" spans="1:14" s="47" customFormat="1" ht="34.950000000000003" customHeight="1" x14ac:dyDescent="0.45">
      <c r="A392" s="51"/>
      <c r="B392" s="45"/>
      <c r="C392" s="45"/>
      <c r="D392" s="48"/>
      <c r="E392" s="45"/>
      <c r="F392" s="45"/>
      <c r="G392" s="45"/>
      <c r="H392" s="45"/>
      <c r="I392" s="45"/>
      <c r="J392" s="45"/>
      <c r="K392" s="45"/>
      <c r="L392" s="45"/>
      <c r="M392" s="45"/>
      <c r="N392" s="45"/>
    </row>
    <row r="393" spans="1:14" s="47" customFormat="1" ht="34.950000000000003" customHeight="1" x14ac:dyDescent="0.45">
      <c r="A393" s="51"/>
      <c r="B393" s="45"/>
      <c r="C393" s="45"/>
      <c r="D393" s="48"/>
      <c r="E393" s="45"/>
      <c r="F393" s="45"/>
      <c r="G393" s="45"/>
      <c r="H393" s="45"/>
      <c r="I393" s="45"/>
      <c r="J393" s="45"/>
      <c r="K393" s="45"/>
      <c r="L393" s="45"/>
      <c r="M393" s="45"/>
      <c r="N393" s="45"/>
    </row>
    <row r="394" spans="1:14" s="47" customFormat="1" ht="34.950000000000003" customHeight="1" x14ac:dyDescent="0.45">
      <c r="A394" s="51"/>
      <c r="B394" s="45"/>
      <c r="C394" s="45"/>
      <c r="D394" s="48"/>
      <c r="E394" s="45"/>
      <c r="F394" s="45"/>
      <c r="G394" s="45"/>
      <c r="H394" s="45"/>
      <c r="I394" s="45"/>
      <c r="J394" s="45"/>
      <c r="K394" s="45"/>
      <c r="L394" s="45"/>
      <c r="M394" s="45"/>
      <c r="N394" s="45"/>
    </row>
    <row r="395" spans="1:14" s="47" customFormat="1" ht="34.950000000000003" customHeight="1" x14ac:dyDescent="0.45">
      <c r="A395" s="51"/>
      <c r="B395" s="45"/>
      <c r="C395" s="45"/>
      <c r="D395" s="48"/>
      <c r="E395" s="45"/>
      <c r="F395" s="45"/>
      <c r="G395" s="45"/>
      <c r="H395" s="45"/>
      <c r="I395" s="45"/>
      <c r="J395" s="45"/>
      <c r="K395" s="45"/>
      <c r="L395" s="45"/>
      <c r="M395" s="45"/>
      <c r="N395" s="45"/>
    </row>
    <row r="396" spans="1:14" s="47" customFormat="1" ht="34.950000000000003" customHeight="1" x14ac:dyDescent="0.45">
      <c r="A396" s="51"/>
      <c r="B396" s="45"/>
      <c r="C396" s="45"/>
      <c r="D396" s="48"/>
      <c r="E396" s="45"/>
      <c r="F396" s="45"/>
      <c r="G396" s="45"/>
      <c r="H396" s="45"/>
      <c r="I396" s="45"/>
      <c r="J396" s="45"/>
      <c r="K396" s="45"/>
      <c r="L396" s="45"/>
      <c r="M396" s="45"/>
      <c r="N396" s="45"/>
    </row>
    <row r="397" spans="1:14" s="47" customFormat="1" ht="34.950000000000003" customHeight="1" x14ac:dyDescent="0.45">
      <c r="A397" s="51"/>
      <c r="B397" s="45"/>
      <c r="C397" s="45"/>
      <c r="D397" s="48"/>
      <c r="E397" s="45"/>
      <c r="F397" s="45"/>
      <c r="G397" s="45"/>
      <c r="H397" s="45"/>
      <c r="I397" s="45"/>
      <c r="J397" s="45"/>
      <c r="K397" s="45"/>
      <c r="L397" s="45"/>
      <c r="M397" s="45"/>
      <c r="N397" s="45"/>
    </row>
    <row r="398" spans="1:14" s="47" customFormat="1" ht="34.950000000000003" customHeight="1" x14ac:dyDescent="0.45">
      <c r="A398" s="51"/>
      <c r="B398" s="45"/>
      <c r="C398" s="45"/>
      <c r="D398" s="48"/>
      <c r="E398" s="45"/>
      <c r="F398" s="45"/>
      <c r="G398" s="45"/>
      <c r="H398" s="45"/>
      <c r="I398" s="45"/>
      <c r="J398" s="45"/>
      <c r="K398" s="45"/>
      <c r="L398" s="45"/>
      <c r="M398" s="45"/>
      <c r="N398" s="45"/>
    </row>
    <row r="399" spans="1:14" s="47" customFormat="1" ht="34.950000000000003" customHeight="1" x14ac:dyDescent="0.45">
      <c r="A399" s="51"/>
      <c r="B399" s="45"/>
      <c r="C399" s="45"/>
      <c r="D399" s="48"/>
      <c r="E399" s="45"/>
      <c r="F399" s="45"/>
      <c r="G399" s="45"/>
      <c r="H399" s="45"/>
      <c r="I399" s="45"/>
      <c r="J399" s="45"/>
      <c r="K399" s="45"/>
      <c r="L399" s="45"/>
      <c r="M399" s="45"/>
      <c r="N399" s="45"/>
    </row>
    <row r="400" spans="1:14" s="47" customFormat="1" ht="34.950000000000003" customHeight="1" x14ac:dyDescent="0.45">
      <c r="A400" s="51"/>
      <c r="B400" s="45"/>
      <c r="C400" s="45"/>
      <c r="D400" s="48"/>
      <c r="E400" s="45"/>
      <c r="F400" s="45"/>
      <c r="G400" s="45"/>
      <c r="H400" s="45"/>
      <c r="I400" s="45"/>
      <c r="J400" s="45"/>
      <c r="K400" s="45"/>
      <c r="L400" s="45"/>
      <c r="M400" s="45"/>
      <c r="N400" s="45"/>
    </row>
    <row r="401" spans="1:14" s="47" customFormat="1" ht="34.950000000000003" customHeight="1" x14ac:dyDescent="0.45">
      <c r="A401" s="51"/>
      <c r="B401" s="45"/>
      <c r="C401" s="45"/>
      <c r="D401" s="48"/>
      <c r="E401" s="45"/>
      <c r="F401" s="45"/>
      <c r="G401" s="45"/>
      <c r="H401" s="45"/>
      <c r="I401" s="45"/>
      <c r="J401" s="45"/>
      <c r="K401" s="45"/>
      <c r="L401" s="45"/>
      <c r="M401" s="45"/>
      <c r="N401" s="45"/>
    </row>
    <row r="402" spans="1:14" s="47" customFormat="1" ht="34.950000000000003" customHeight="1" x14ac:dyDescent="0.45">
      <c r="A402" s="51"/>
      <c r="B402" s="45"/>
      <c r="C402" s="45"/>
      <c r="D402" s="48"/>
      <c r="E402" s="45"/>
      <c r="F402" s="45"/>
      <c r="G402" s="45"/>
      <c r="H402" s="45"/>
      <c r="I402" s="45"/>
      <c r="J402" s="45"/>
      <c r="K402" s="45"/>
      <c r="L402" s="45"/>
      <c r="M402" s="45"/>
      <c r="N402" s="45"/>
    </row>
    <row r="403" spans="1:14" s="47" customFormat="1" ht="34.950000000000003" customHeight="1" x14ac:dyDescent="0.45">
      <c r="A403" s="51"/>
      <c r="B403" s="45"/>
      <c r="C403" s="45"/>
      <c r="D403" s="48"/>
      <c r="E403" s="45"/>
      <c r="F403" s="45"/>
      <c r="G403" s="45"/>
      <c r="H403" s="45"/>
      <c r="I403" s="45"/>
      <c r="J403" s="45"/>
      <c r="K403" s="45"/>
      <c r="L403" s="45"/>
      <c r="M403" s="45"/>
      <c r="N403" s="45"/>
    </row>
    <row r="404" spans="1:14" s="47" customFormat="1" ht="34.950000000000003" customHeight="1" x14ac:dyDescent="0.45">
      <c r="A404" s="51"/>
      <c r="B404" s="45"/>
      <c r="C404" s="45"/>
      <c r="D404" s="48"/>
      <c r="E404" s="45"/>
      <c r="F404" s="45"/>
      <c r="G404" s="45"/>
      <c r="H404" s="45"/>
      <c r="I404" s="45"/>
      <c r="J404" s="45"/>
      <c r="K404" s="45"/>
      <c r="L404" s="45"/>
      <c r="M404" s="45"/>
      <c r="N404" s="45"/>
    </row>
    <row r="405" spans="1:14" s="47" customFormat="1" ht="34.950000000000003" customHeight="1" x14ac:dyDescent="0.45">
      <c r="A405" s="51"/>
      <c r="B405" s="45"/>
      <c r="C405" s="45"/>
      <c r="D405" s="48"/>
      <c r="E405" s="45"/>
      <c r="F405" s="45"/>
      <c r="G405" s="45"/>
      <c r="H405" s="45"/>
      <c r="I405" s="45"/>
      <c r="J405" s="45"/>
      <c r="K405" s="45"/>
      <c r="L405" s="45"/>
      <c r="M405" s="45"/>
      <c r="N405" s="45"/>
    </row>
    <row r="406" spans="1:14" s="47" customFormat="1" ht="34.950000000000003" customHeight="1" x14ac:dyDescent="0.45">
      <c r="A406" s="51"/>
      <c r="B406" s="45"/>
      <c r="C406" s="45"/>
      <c r="D406" s="48"/>
      <c r="E406" s="45"/>
      <c r="F406" s="45"/>
      <c r="G406" s="45"/>
      <c r="H406" s="45"/>
      <c r="I406" s="45"/>
      <c r="J406" s="45"/>
      <c r="K406" s="45"/>
      <c r="L406" s="45"/>
      <c r="M406" s="45"/>
      <c r="N406" s="45"/>
    </row>
    <row r="407" spans="1:14" s="47" customFormat="1" ht="34.950000000000003" customHeight="1" x14ac:dyDescent="0.45">
      <c r="A407" s="51"/>
      <c r="B407" s="45"/>
      <c r="C407" s="45"/>
      <c r="D407" s="48"/>
      <c r="E407" s="45"/>
      <c r="F407" s="45"/>
      <c r="G407" s="45"/>
      <c r="H407" s="45"/>
      <c r="I407" s="45"/>
      <c r="J407" s="45"/>
      <c r="K407" s="45"/>
      <c r="L407" s="45"/>
      <c r="M407" s="45"/>
      <c r="N407" s="45"/>
    </row>
    <row r="408" spans="1:14" s="47" customFormat="1" ht="34.950000000000003" customHeight="1" x14ac:dyDescent="0.45">
      <c r="A408" s="51"/>
      <c r="B408" s="45"/>
      <c r="C408" s="45"/>
      <c r="D408" s="48"/>
      <c r="E408" s="45"/>
      <c r="F408" s="45"/>
      <c r="G408" s="45"/>
      <c r="H408" s="45"/>
      <c r="I408" s="45"/>
      <c r="J408" s="45"/>
      <c r="K408" s="45"/>
      <c r="L408" s="45"/>
      <c r="M408" s="45"/>
      <c r="N408" s="45"/>
    </row>
    <row r="409" spans="1:14" s="47" customFormat="1" ht="34.950000000000003" customHeight="1" x14ac:dyDescent="0.45">
      <c r="A409" s="51"/>
      <c r="B409" s="45"/>
      <c r="C409" s="45"/>
      <c r="D409" s="48"/>
      <c r="E409" s="45"/>
      <c r="F409" s="45"/>
      <c r="G409" s="45"/>
      <c r="H409" s="45"/>
      <c r="I409" s="45"/>
      <c r="J409" s="45"/>
      <c r="K409" s="45"/>
      <c r="L409" s="45"/>
      <c r="M409" s="45"/>
      <c r="N409" s="45"/>
    </row>
    <row r="410" spans="1:14" s="47" customFormat="1" ht="34.950000000000003" customHeight="1" x14ac:dyDescent="0.45">
      <c r="A410" s="51"/>
      <c r="B410" s="45"/>
      <c r="C410" s="45"/>
      <c r="D410" s="48"/>
      <c r="E410" s="45"/>
      <c r="F410" s="45"/>
      <c r="G410" s="45"/>
      <c r="H410" s="45"/>
      <c r="I410" s="45"/>
      <c r="J410" s="45"/>
      <c r="K410" s="45"/>
      <c r="L410" s="45"/>
      <c r="M410" s="45"/>
      <c r="N410" s="45"/>
    </row>
    <row r="411" spans="1:14" s="47" customFormat="1" ht="34.950000000000003" customHeight="1" x14ac:dyDescent="0.45">
      <c r="A411" s="51"/>
      <c r="B411" s="45"/>
      <c r="C411" s="45"/>
      <c r="D411" s="48"/>
      <c r="E411" s="45"/>
      <c r="F411" s="45"/>
      <c r="G411" s="45"/>
      <c r="H411" s="45"/>
      <c r="I411" s="45"/>
      <c r="J411" s="45"/>
      <c r="K411" s="45"/>
      <c r="L411" s="45"/>
      <c r="M411" s="45"/>
      <c r="N411" s="45"/>
    </row>
    <row r="412" spans="1:14" s="47" customFormat="1" ht="34.950000000000003" customHeight="1" x14ac:dyDescent="0.45">
      <c r="A412" s="51"/>
      <c r="B412" s="45"/>
      <c r="C412" s="45"/>
      <c r="D412" s="48"/>
      <c r="E412" s="45"/>
      <c r="F412" s="45"/>
      <c r="G412" s="45"/>
      <c r="H412" s="45"/>
      <c r="I412" s="45"/>
      <c r="J412" s="45"/>
      <c r="K412" s="45"/>
      <c r="L412" s="45"/>
      <c r="M412" s="45"/>
      <c r="N412" s="45"/>
    </row>
    <row r="413" spans="1:14" s="47" customFormat="1" ht="34.950000000000003" customHeight="1" x14ac:dyDescent="0.45">
      <c r="A413" s="51"/>
      <c r="B413" s="45"/>
      <c r="C413" s="45"/>
      <c r="D413" s="48"/>
      <c r="E413" s="45"/>
      <c r="F413" s="45"/>
      <c r="G413" s="45"/>
      <c r="H413" s="45"/>
      <c r="I413" s="45"/>
      <c r="J413" s="45"/>
      <c r="K413" s="45"/>
      <c r="L413" s="45"/>
      <c r="M413" s="45"/>
      <c r="N413" s="45"/>
    </row>
    <row r="414" spans="1:14" s="47" customFormat="1" ht="34.950000000000003" customHeight="1" x14ac:dyDescent="0.45">
      <c r="A414" s="51"/>
      <c r="B414" s="45"/>
      <c r="C414" s="45"/>
      <c r="D414" s="48"/>
      <c r="E414" s="45"/>
      <c r="F414" s="45"/>
      <c r="G414" s="45"/>
      <c r="H414" s="45"/>
      <c r="I414" s="45"/>
      <c r="J414" s="45"/>
      <c r="K414" s="45"/>
      <c r="L414" s="45"/>
      <c r="M414" s="45"/>
      <c r="N414" s="45"/>
    </row>
    <row r="415" spans="1:14" s="47" customFormat="1" ht="34.950000000000003" customHeight="1" x14ac:dyDescent="0.45">
      <c r="A415" s="51"/>
      <c r="B415" s="45"/>
      <c r="C415" s="45"/>
      <c r="D415" s="48"/>
      <c r="E415" s="45"/>
      <c r="F415" s="45"/>
      <c r="G415" s="45"/>
      <c r="H415" s="45"/>
      <c r="I415" s="45"/>
      <c r="J415" s="45"/>
      <c r="K415" s="45"/>
      <c r="L415" s="45"/>
      <c r="M415" s="45"/>
      <c r="N415" s="45"/>
    </row>
    <row r="416" spans="1:14" s="47" customFormat="1" ht="34.950000000000003" customHeight="1" x14ac:dyDescent="0.45">
      <c r="A416" s="51"/>
      <c r="B416" s="45"/>
      <c r="C416" s="45"/>
      <c r="D416" s="48"/>
      <c r="E416" s="45"/>
      <c r="F416" s="45"/>
      <c r="G416" s="45"/>
      <c r="H416" s="45"/>
      <c r="I416" s="45"/>
      <c r="J416" s="45"/>
      <c r="K416" s="45"/>
      <c r="L416" s="45"/>
      <c r="M416" s="45"/>
      <c r="N416" s="45"/>
    </row>
    <row r="417" spans="1:14" s="47" customFormat="1" ht="34.950000000000003" customHeight="1" x14ac:dyDescent="0.45">
      <c r="A417" s="51"/>
      <c r="B417" s="45"/>
      <c r="C417" s="45"/>
      <c r="D417" s="48"/>
      <c r="E417" s="45"/>
      <c r="F417" s="45"/>
      <c r="G417" s="45"/>
      <c r="H417" s="45"/>
      <c r="I417" s="45"/>
      <c r="J417" s="45"/>
      <c r="K417" s="45"/>
      <c r="L417" s="45"/>
      <c r="M417" s="45"/>
      <c r="N417" s="45"/>
    </row>
    <row r="418" spans="1:14" s="47" customFormat="1" ht="34.950000000000003" customHeight="1" x14ac:dyDescent="0.45">
      <c r="A418" s="51"/>
      <c r="B418" s="45"/>
      <c r="C418" s="45"/>
      <c r="D418" s="48"/>
      <c r="E418" s="45"/>
      <c r="F418" s="45"/>
      <c r="G418" s="45"/>
      <c r="H418" s="45"/>
      <c r="I418" s="45"/>
      <c r="J418" s="45"/>
      <c r="K418" s="45"/>
      <c r="L418" s="45"/>
      <c r="M418" s="45"/>
      <c r="N418" s="45"/>
    </row>
    <row r="419" spans="1:14" s="47" customFormat="1" ht="34.950000000000003" customHeight="1" x14ac:dyDescent="0.45">
      <c r="A419" s="51"/>
      <c r="B419" s="45"/>
      <c r="C419" s="45"/>
      <c r="D419" s="48"/>
      <c r="E419" s="45"/>
      <c r="F419" s="45"/>
      <c r="G419" s="45"/>
      <c r="H419" s="45"/>
      <c r="I419" s="45"/>
      <c r="J419" s="45"/>
      <c r="K419" s="45"/>
      <c r="L419" s="45"/>
      <c r="M419" s="45"/>
      <c r="N419" s="45"/>
    </row>
    <row r="420" spans="1:14" s="47" customFormat="1" ht="34.950000000000003" customHeight="1" x14ac:dyDescent="0.45">
      <c r="A420" s="51"/>
      <c r="B420" s="45"/>
      <c r="C420" s="45"/>
      <c r="D420" s="48"/>
      <c r="E420" s="45"/>
      <c r="F420" s="45"/>
      <c r="G420" s="45"/>
      <c r="H420" s="45"/>
      <c r="I420" s="45"/>
      <c r="J420" s="45"/>
      <c r="K420" s="45"/>
      <c r="L420" s="45"/>
      <c r="M420" s="45"/>
      <c r="N420" s="45"/>
    </row>
    <row r="421" spans="1:14" s="47" customFormat="1" ht="34.950000000000003" customHeight="1" x14ac:dyDescent="0.45">
      <c r="A421" s="51"/>
      <c r="B421" s="45"/>
      <c r="C421" s="45"/>
      <c r="D421" s="48"/>
      <c r="E421" s="45"/>
      <c r="F421" s="45"/>
      <c r="G421" s="45"/>
      <c r="H421" s="45"/>
      <c r="I421" s="45"/>
      <c r="J421" s="45"/>
      <c r="K421" s="45"/>
      <c r="L421" s="45"/>
      <c r="M421" s="45"/>
      <c r="N421" s="45"/>
    </row>
    <row r="422" spans="1:14" s="47" customFormat="1" ht="34.950000000000003" customHeight="1" x14ac:dyDescent="0.45">
      <c r="A422" s="51"/>
      <c r="B422" s="45"/>
      <c r="C422" s="45"/>
      <c r="D422" s="48"/>
      <c r="E422" s="45"/>
      <c r="F422" s="45"/>
      <c r="G422" s="45"/>
      <c r="H422" s="45"/>
      <c r="I422" s="45"/>
      <c r="J422" s="45"/>
      <c r="K422" s="45"/>
      <c r="L422" s="45"/>
      <c r="M422" s="45"/>
      <c r="N422" s="45"/>
    </row>
    <row r="423" spans="1:14" s="47" customFormat="1" ht="34.950000000000003" customHeight="1" x14ac:dyDescent="0.45">
      <c r="A423" s="51"/>
      <c r="B423" s="45"/>
      <c r="C423" s="45"/>
      <c r="D423" s="48"/>
      <c r="E423" s="45"/>
      <c r="F423" s="45"/>
      <c r="G423" s="45"/>
      <c r="H423" s="45"/>
      <c r="I423" s="45"/>
      <c r="J423" s="45"/>
      <c r="K423" s="45"/>
      <c r="L423" s="45"/>
      <c r="M423" s="45"/>
      <c r="N423" s="45"/>
    </row>
    <row r="424" spans="1:14" s="47" customFormat="1" ht="34.950000000000003" customHeight="1" x14ac:dyDescent="0.45">
      <c r="A424" s="51"/>
      <c r="B424" s="45"/>
      <c r="C424" s="45"/>
      <c r="D424" s="48"/>
      <c r="E424" s="45"/>
      <c r="F424" s="45"/>
      <c r="G424" s="45"/>
      <c r="H424" s="45"/>
      <c r="I424" s="45"/>
      <c r="J424" s="45"/>
      <c r="K424" s="45"/>
      <c r="L424" s="45"/>
      <c r="M424" s="45"/>
      <c r="N424" s="45"/>
    </row>
    <row r="425" spans="1:14" s="47" customFormat="1" ht="34.950000000000003" customHeight="1" x14ac:dyDescent="0.45">
      <c r="A425" s="51"/>
      <c r="B425" s="45"/>
      <c r="C425" s="45"/>
      <c r="D425" s="48"/>
      <c r="E425" s="45"/>
      <c r="F425" s="45"/>
      <c r="G425" s="45"/>
      <c r="H425" s="45"/>
      <c r="I425" s="45"/>
      <c r="J425" s="45"/>
      <c r="K425" s="45"/>
      <c r="L425" s="45"/>
      <c r="M425" s="45"/>
      <c r="N425" s="45"/>
    </row>
    <row r="426" spans="1:14" s="47" customFormat="1" ht="34.950000000000003" customHeight="1" x14ac:dyDescent="0.45">
      <c r="A426" s="51"/>
      <c r="B426" s="45"/>
      <c r="C426" s="45"/>
      <c r="D426" s="48"/>
      <c r="E426" s="45"/>
      <c r="F426" s="45"/>
      <c r="G426" s="45"/>
      <c r="H426" s="45"/>
      <c r="I426" s="45"/>
      <c r="J426" s="45"/>
      <c r="K426" s="45"/>
      <c r="L426" s="45"/>
      <c r="M426" s="45"/>
      <c r="N426" s="45"/>
    </row>
    <row r="427" spans="1:14" s="47" customFormat="1" ht="34.950000000000003" customHeight="1" x14ac:dyDescent="0.45">
      <c r="A427" s="51"/>
      <c r="B427" s="45"/>
      <c r="C427" s="45"/>
      <c r="D427" s="48"/>
      <c r="E427" s="45"/>
      <c r="F427" s="45"/>
      <c r="G427" s="45"/>
      <c r="H427" s="45"/>
      <c r="I427" s="45"/>
      <c r="J427" s="45"/>
      <c r="K427" s="45"/>
      <c r="L427" s="45"/>
      <c r="M427" s="45"/>
      <c r="N427" s="45"/>
    </row>
    <row r="428" spans="1:14" s="47" customFormat="1" ht="34.950000000000003" customHeight="1" x14ac:dyDescent="0.45">
      <c r="A428" s="51"/>
      <c r="B428" s="45"/>
      <c r="C428" s="45"/>
      <c r="D428" s="48"/>
      <c r="E428" s="45"/>
      <c r="F428" s="45"/>
      <c r="G428" s="45"/>
      <c r="H428" s="45"/>
      <c r="I428" s="45"/>
      <c r="J428" s="45"/>
      <c r="K428" s="45"/>
      <c r="L428" s="45"/>
      <c r="M428" s="45"/>
      <c r="N428" s="45"/>
    </row>
    <row r="429" spans="1:14" s="47" customFormat="1" ht="34.950000000000003" customHeight="1" x14ac:dyDescent="0.45">
      <c r="A429" s="51"/>
      <c r="B429" s="45"/>
      <c r="C429" s="45"/>
      <c r="D429" s="48"/>
      <c r="E429" s="45"/>
      <c r="F429" s="45"/>
      <c r="G429" s="45"/>
      <c r="H429" s="45"/>
      <c r="I429" s="45"/>
      <c r="J429" s="45"/>
      <c r="K429" s="45"/>
      <c r="L429" s="45"/>
      <c r="M429" s="45"/>
      <c r="N429" s="45"/>
    </row>
    <row r="430" spans="1:14" s="47" customFormat="1" ht="34.950000000000003" customHeight="1" x14ac:dyDescent="0.45">
      <c r="A430" s="51"/>
      <c r="B430" s="45"/>
      <c r="C430" s="45"/>
      <c r="D430" s="48"/>
      <c r="E430" s="45"/>
      <c r="F430" s="45"/>
      <c r="G430" s="45"/>
      <c r="H430" s="45"/>
      <c r="I430" s="45"/>
      <c r="J430" s="45"/>
      <c r="K430" s="45"/>
      <c r="L430" s="45"/>
      <c r="M430" s="45"/>
      <c r="N430" s="45"/>
    </row>
    <row r="431" spans="1:14" s="47" customFormat="1" ht="34.950000000000003" customHeight="1" x14ac:dyDescent="0.45">
      <c r="A431" s="51"/>
      <c r="B431" s="45"/>
      <c r="C431" s="45"/>
      <c r="D431" s="48"/>
      <c r="E431" s="45"/>
      <c r="F431" s="45"/>
      <c r="G431" s="45"/>
      <c r="H431" s="45"/>
      <c r="I431" s="45"/>
      <c r="J431" s="45"/>
      <c r="K431" s="45"/>
      <c r="L431" s="45"/>
      <c r="M431" s="45"/>
      <c r="N431" s="45"/>
    </row>
    <row r="432" spans="1:14" s="47" customFormat="1" ht="34.950000000000003" customHeight="1" x14ac:dyDescent="0.45">
      <c r="A432" s="51"/>
      <c r="B432" s="45"/>
      <c r="C432" s="45"/>
      <c r="D432" s="48"/>
      <c r="E432" s="45"/>
      <c r="F432" s="45"/>
      <c r="G432" s="45"/>
      <c r="H432" s="45"/>
      <c r="I432" s="45"/>
      <c r="J432" s="45"/>
      <c r="K432" s="45"/>
      <c r="L432" s="45"/>
      <c r="M432" s="45"/>
      <c r="N432" s="45"/>
    </row>
    <row r="433" spans="1:14" s="47" customFormat="1" ht="34.950000000000003" customHeight="1" x14ac:dyDescent="0.45">
      <c r="A433" s="51"/>
      <c r="B433" s="45"/>
      <c r="C433" s="45"/>
      <c r="D433" s="48"/>
      <c r="E433" s="45"/>
      <c r="F433" s="45"/>
      <c r="G433" s="45"/>
      <c r="H433" s="45"/>
      <c r="I433" s="45"/>
      <c r="J433" s="45"/>
      <c r="K433" s="45"/>
      <c r="L433" s="45"/>
      <c r="M433" s="45"/>
      <c r="N433" s="45"/>
    </row>
    <row r="434" spans="1:14" s="47" customFormat="1" ht="34.950000000000003" customHeight="1" x14ac:dyDescent="0.45">
      <c r="A434" s="51"/>
      <c r="B434" s="45"/>
      <c r="C434" s="45"/>
      <c r="D434" s="48"/>
      <c r="E434" s="45"/>
      <c r="F434" s="45"/>
      <c r="G434" s="45"/>
      <c r="H434" s="45"/>
      <c r="I434" s="45"/>
      <c r="J434" s="45"/>
      <c r="K434" s="45"/>
      <c r="L434" s="45"/>
      <c r="M434" s="45"/>
      <c r="N434" s="45"/>
    </row>
    <row r="435" spans="1:14" s="47" customFormat="1" ht="34.950000000000003" customHeight="1" x14ac:dyDescent="0.45">
      <c r="A435" s="51"/>
      <c r="B435" s="45"/>
      <c r="C435" s="45"/>
      <c r="D435" s="48"/>
      <c r="E435" s="45"/>
      <c r="F435" s="45"/>
      <c r="G435" s="45"/>
      <c r="H435" s="45"/>
      <c r="I435" s="45"/>
      <c r="J435" s="45"/>
      <c r="K435" s="45"/>
      <c r="L435" s="45"/>
      <c r="M435" s="45"/>
      <c r="N435" s="45"/>
    </row>
    <row r="436" spans="1:14" s="47" customFormat="1" ht="34.950000000000003" customHeight="1" x14ac:dyDescent="0.45">
      <c r="A436" s="51"/>
      <c r="B436" s="45"/>
      <c r="C436" s="45"/>
      <c r="D436" s="48"/>
      <c r="E436" s="45"/>
      <c r="F436" s="45"/>
      <c r="G436" s="45"/>
      <c r="H436" s="45"/>
      <c r="I436" s="45"/>
      <c r="J436" s="45"/>
      <c r="K436" s="45"/>
      <c r="L436" s="45"/>
      <c r="M436" s="45"/>
      <c r="N436" s="45"/>
    </row>
    <row r="437" spans="1:14" s="47" customFormat="1" ht="34.950000000000003" customHeight="1" x14ac:dyDescent="0.45">
      <c r="A437" s="51"/>
      <c r="B437" s="45"/>
      <c r="C437" s="45"/>
      <c r="D437" s="48"/>
      <c r="E437" s="45"/>
      <c r="F437" s="45"/>
      <c r="G437" s="45"/>
      <c r="H437" s="45"/>
      <c r="I437" s="45"/>
      <c r="J437" s="45"/>
      <c r="K437" s="45"/>
      <c r="L437" s="45"/>
      <c r="M437" s="45"/>
      <c r="N437" s="45"/>
    </row>
    <row r="438" spans="1:14" s="47" customFormat="1" ht="34.950000000000003" customHeight="1" x14ac:dyDescent="0.45">
      <c r="A438" s="51"/>
      <c r="B438" s="45"/>
      <c r="C438" s="45"/>
      <c r="D438" s="48"/>
      <c r="E438" s="45"/>
      <c r="F438" s="45"/>
      <c r="G438" s="45"/>
      <c r="H438" s="45"/>
      <c r="I438" s="45"/>
      <c r="J438" s="45"/>
      <c r="K438" s="45"/>
      <c r="L438" s="45"/>
      <c r="M438" s="45"/>
      <c r="N438" s="45"/>
    </row>
    <row r="439" spans="1:14" s="47" customFormat="1" ht="34.950000000000003" customHeight="1" x14ac:dyDescent="0.45">
      <c r="A439" s="51"/>
      <c r="B439" s="45"/>
      <c r="C439" s="45"/>
      <c r="D439" s="48"/>
      <c r="E439" s="45"/>
      <c r="F439" s="45"/>
      <c r="G439" s="45"/>
      <c r="H439" s="45"/>
      <c r="I439" s="45"/>
      <c r="J439" s="45"/>
      <c r="K439" s="45"/>
      <c r="L439" s="45"/>
      <c r="M439" s="45"/>
      <c r="N439" s="45"/>
    </row>
    <row r="440" spans="1:14" s="47" customFormat="1" ht="34.950000000000003" customHeight="1" x14ac:dyDescent="0.45">
      <c r="A440" s="51"/>
      <c r="B440" s="45"/>
      <c r="C440" s="45"/>
      <c r="D440" s="48"/>
      <c r="E440" s="45"/>
      <c r="F440" s="45"/>
      <c r="G440" s="45"/>
      <c r="H440" s="45"/>
      <c r="I440" s="45"/>
      <c r="J440" s="45"/>
      <c r="K440" s="45"/>
      <c r="L440" s="45"/>
      <c r="M440" s="45"/>
      <c r="N440" s="45"/>
    </row>
    <row r="441" spans="1:14" s="47" customFormat="1" ht="34.950000000000003" customHeight="1" x14ac:dyDescent="0.45">
      <c r="A441" s="51"/>
      <c r="B441" s="45"/>
      <c r="C441" s="45"/>
      <c r="D441" s="48"/>
      <c r="E441" s="45"/>
      <c r="F441" s="45"/>
      <c r="G441" s="45"/>
      <c r="H441" s="45"/>
      <c r="I441" s="45"/>
      <c r="J441" s="45"/>
      <c r="K441" s="45"/>
      <c r="L441" s="45"/>
      <c r="M441" s="45"/>
      <c r="N441" s="45"/>
    </row>
    <row r="442" spans="1:14" s="47" customFormat="1" ht="34.950000000000003" customHeight="1" x14ac:dyDescent="0.45">
      <c r="A442" s="51"/>
      <c r="B442" s="45"/>
      <c r="C442" s="45"/>
      <c r="D442" s="48"/>
      <c r="E442" s="45"/>
      <c r="F442" s="45"/>
      <c r="G442" s="45"/>
      <c r="H442" s="45"/>
      <c r="I442" s="45"/>
      <c r="J442" s="45"/>
      <c r="K442" s="45"/>
      <c r="L442" s="45"/>
      <c r="M442" s="45"/>
      <c r="N442" s="45"/>
    </row>
    <row r="443" spans="1:14" s="47" customFormat="1" ht="34.950000000000003" customHeight="1" x14ac:dyDescent="0.45">
      <c r="A443" s="51"/>
      <c r="B443" s="45"/>
      <c r="C443" s="45"/>
      <c r="D443" s="48"/>
      <c r="E443" s="45"/>
      <c r="F443" s="45"/>
      <c r="G443" s="45"/>
      <c r="H443" s="45"/>
      <c r="I443" s="45"/>
      <c r="J443" s="45"/>
      <c r="K443" s="45"/>
      <c r="L443" s="45"/>
      <c r="M443" s="45"/>
      <c r="N443" s="45"/>
    </row>
    <row r="444" spans="1:14" s="47" customFormat="1" ht="34.950000000000003" customHeight="1" x14ac:dyDescent="0.45">
      <c r="A444" s="51"/>
      <c r="B444" s="45"/>
      <c r="C444" s="45"/>
      <c r="D444" s="48"/>
      <c r="E444" s="45"/>
      <c r="F444" s="45"/>
      <c r="G444" s="45"/>
      <c r="H444" s="45"/>
      <c r="I444" s="45"/>
      <c r="J444" s="45"/>
      <c r="K444" s="45"/>
      <c r="L444" s="45"/>
      <c r="M444" s="45"/>
      <c r="N444" s="45"/>
    </row>
    <row r="445" spans="1:14" s="47" customFormat="1" ht="34.950000000000003" customHeight="1" x14ac:dyDescent="0.45">
      <c r="A445" s="51"/>
      <c r="B445" s="45"/>
      <c r="C445" s="45"/>
      <c r="D445" s="48"/>
      <c r="E445" s="45"/>
      <c r="F445" s="45"/>
      <c r="G445" s="45"/>
      <c r="H445" s="45"/>
      <c r="I445" s="45"/>
      <c r="J445" s="45"/>
      <c r="K445" s="45"/>
      <c r="L445" s="45"/>
      <c r="M445" s="45"/>
      <c r="N445" s="45"/>
    </row>
    <row r="446" spans="1:14" s="47" customFormat="1" ht="34.950000000000003" customHeight="1" x14ac:dyDescent="0.45">
      <c r="A446" s="51"/>
      <c r="B446" s="45"/>
      <c r="C446" s="45"/>
      <c r="D446" s="48"/>
      <c r="E446" s="45"/>
      <c r="F446" s="45"/>
      <c r="G446" s="45"/>
      <c r="H446" s="45"/>
      <c r="I446" s="45"/>
      <c r="J446" s="45"/>
      <c r="K446" s="45"/>
      <c r="L446" s="45"/>
      <c r="M446" s="45"/>
      <c r="N446" s="45"/>
    </row>
    <row r="447" spans="1:14" s="47" customFormat="1" ht="34.950000000000003" customHeight="1" x14ac:dyDescent="0.45">
      <c r="A447" s="51"/>
      <c r="B447" s="45"/>
      <c r="C447" s="45"/>
      <c r="D447" s="48"/>
      <c r="E447" s="45"/>
      <c r="F447" s="45"/>
      <c r="G447" s="45"/>
      <c r="H447" s="45"/>
      <c r="I447" s="45"/>
      <c r="J447" s="45"/>
      <c r="K447" s="45"/>
      <c r="L447" s="45"/>
      <c r="M447" s="45"/>
      <c r="N447" s="45"/>
    </row>
    <row r="448" spans="1:14" s="47" customFormat="1" ht="34.950000000000003" customHeight="1" x14ac:dyDescent="0.45">
      <c r="A448" s="51"/>
      <c r="B448" s="45"/>
      <c r="C448" s="45"/>
      <c r="D448" s="48"/>
      <c r="E448" s="45"/>
      <c r="F448" s="45"/>
      <c r="G448" s="45"/>
      <c r="H448" s="45"/>
      <c r="I448" s="45"/>
      <c r="J448" s="45"/>
      <c r="K448" s="45"/>
      <c r="L448" s="45"/>
      <c r="M448" s="45"/>
      <c r="N448" s="45"/>
    </row>
    <row r="449" spans="1:14" s="47" customFormat="1" ht="34.950000000000003" customHeight="1" x14ac:dyDescent="0.45">
      <c r="A449" s="51"/>
      <c r="B449" s="45"/>
      <c r="C449" s="45"/>
      <c r="D449" s="48"/>
      <c r="E449" s="45"/>
      <c r="F449" s="45"/>
      <c r="G449" s="45"/>
      <c r="H449" s="45"/>
      <c r="I449" s="45"/>
      <c r="J449" s="45"/>
      <c r="K449" s="45"/>
      <c r="L449" s="45"/>
      <c r="M449" s="45"/>
      <c r="N449" s="45"/>
    </row>
    <row r="450" spans="1:14" s="47" customFormat="1" ht="34.950000000000003" customHeight="1" x14ac:dyDescent="0.45">
      <c r="A450" s="51"/>
      <c r="B450" s="45"/>
      <c r="C450" s="45"/>
      <c r="D450" s="48"/>
      <c r="E450" s="45"/>
      <c r="F450" s="45"/>
      <c r="G450" s="45"/>
      <c r="H450" s="45"/>
      <c r="I450" s="45"/>
      <c r="J450" s="45"/>
      <c r="K450" s="45"/>
      <c r="L450" s="45"/>
      <c r="M450" s="45"/>
      <c r="N450" s="45"/>
    </row>
    <row r="451" spans="1:14" s="47" customFormat="1" ht="34.950000000000003" customHeight="1" x14ac:dyDescent="0.45">
      <c r="A451" s="51"/>
      <c r="B451" s="45"/>
      <c r="C451" s="45"/>
      <c r="D451" s="48"/>
      <c r="E451" s="45"/>
      <c r="F451" s="45"/>
      <c r="G451" s="45"/>
      <c r="H451" s="45"/>
      <c r="I451" s="45"/>
      <c r="J451" s="45"/>
      <c r="K451" s="45"/>
      <c r="L451" s="45"/>
      <c r="M451" s="45"/>
      <c r="N451" s="45"/>
    </row>
    <row r="452" spans="1:14" s="47" customFormat="1" ht="34.950000000000003" customHeight="1" x14ac:dyDescent="0.45">
      <c r="A452" s="51"/>
      <c r="B452" s="45"/>
      <c r="C452" s="45"/>
      <c r="D452" s="48"/>
      <c r="E452" s="45"/>
      <c r="F452" s="45"/>
      <c r="G452" s="45"/>
      <c r="H452" s="45"/>
      <c r="I452" s="45"/>
      <c r="J452" s="45"/>
      <c r="K452" s="45"/>
      <c r="L452" s="45"/>
      <c r="M452" s="45"/>
      <c r="N452" s="45"/>
    </row>
    <row r="453" spans="1:14" s="47" customFormat="1" ht="34.950000000000003" customHeight="1" x14ac:dyDescent="0.45">
      <c r="A453" s="51"/>
      <c r="B453" s="45"/>
      <c r="C453" s="45"/>
      <c r="D453" s="48"/>
      <c r="E453" s="45"/>
      <c r="F453" s="45"/>
      <c r="G453" s="45"/>
      <c r="H453" s="45"/>
      <c r="I453" s="45"/>
      <c r="J453" s="45"/>
      <c r="K453" s="45"/>
      <c r="L453" s="45"/>
      <c r="M453" s="45"/>
      <c r="N453" s="45"/>
    </row>
    <row r="454" spans="1:14" s="47" customFormat="1" ht="34.950000000000003" customHeight="1" x14ac:dyDescent="0.45">
      <c r="A454" s="51"/>
      <c r="B454" s="45"/>
      <c r="C454" s="45"/>
      <c r="D454" s="48"/>
      <c r="E454" s="45"/>
      <c r="F454" s="45"/>
      <c r="G454" s="45"/>
      <c r="H454" s="45"/>
      <c r="I454" s="45"/>
      <c r="J454" s="45"/>
      <c r="K454" s="45"/>
      <c r="L454" s="45"/>
      <c r="M454" s="45"/>
      <c r="N454" s="45"/>
    </row>
    <row r="455" spans="1:14" s="47" customFormat="1" ht="34.950000000000003" customHeight="1" x14ac:dyDescent="0.45">
      <c r="A455" s="51"/>
      <c r="B455" s="45"/>
      <c r="C455" s="45"/>
      <c r="D455" s="48"/>
      <c r="E455" s="45"/>
      <c r="F455" s="45"/>
      <c r="G455" s="45"/>
      <c r="H455" s="45"/>
      <c r="I455" s="45"/>
      <c r="J455" s="45"/>
      <c r="K455" s="45"/>
      <c r="L455" s="45"/>
      <c r="M455" s="45"/>
      <c r="N455" s="45"/>
    </row>
    <row r="456" spans="1:14" s="47" customFormat="1" ht="34.950000000000003" customHeight="1" x14ac:dyDescent="0.45">
      <c r="A456" s="51"/>
      <c r="B456" s="45"/>
      <c r="C456" s="45"/>
      <c r="D456" s="48"/>
      <c r="E456" s="45"/>
      <c r="F456" s="45"/>
      <c r="G456" s="45"/>
      <c r="H456" s="45"/>
      <c r="I456" s="45"/>
      <c r="J456" s="45"/>
      <c r="K456" s="45"/>
      <c r="L456" s="45"/>
      <c r="M456" s="45"/>
      <c r="N456" s="45"/>
    </row>
    <row r="457" spans="1:14" s="47" customFormat="1" ht="34.950000000000003" customHeight="1" x14ac:dyDescent="0.45">
      <c r="A457" s="51"/>
      <c r="B457" s="45"/>
      <c r="C457" s="45"/>
      <c r="D457" s="48"/>
      <c r="E457" s="45"/>
      <c r="F457" s="45"/>
      <c r="G457" s="45"/>
      <c r="H457" s="45"/>
      <c r="I457" s="45"/>
      <c r="J457" s="45"/>
      <c r="K457" s="45"/>
      <c r="L457" s="45"/>
      <c r="M457" s="45"/>
      <c r="N457" s="45"/>
    </row>
    <row r="458" spans="1:14" s="47" customFormat="1" ht="34.950000000000003" customHeight="1" x14ac:dyDescent="0.45">
      <c r="A458" s="51"/>
      <c r="B458" s="45"/>
      <c r="C458" s="45"/>
      <c r="D458" s="48"/>
      <c r="E458" s="45"/>
      <c r="F458" s="45"/>
      <c r="G458" s="45"/>
      <c r="H458" s="45"/>
      <c r="I458" s="45"/>
      <c r="J458" s="45"/>
      <c r="K458" s="45"/>
      <c r="L458" s="45"/>
      <c r="M458" s="45"/>
      <c r="N458" s="45"/>
    </row>
    <row r="459" spans="1:14" s="47" customFormat="1" ht="34.950000000000003" customHeight="1" x14ac:dyDescent="0.45">
      <c r="A459" s="51"/>
      <c r="B459" s="45"/>
      <c r="C459" s="45"/>
      <c r="D459" s="48"/>
      <c r="E459" s="45"/>
      <c r="F459" s="45"/>
      <c r="G459" s="45"/>
      <c r="H459" s="45"/>
      <c r="I459" s="45"/>
      <c r="J459" s="45"/>
      <c r="K459" s="45"/>
      <c r="L459" s="45"/>
      <c r="M459" s="45"/>
      <c r="N459" s="45"/>
    </row>
    <row r="460" spans="1:14" s="47" customFormat="1" ht="34.950000000000003" customHeight="1" x14ac:dyDescent="0.45">
      <c r="A460" s="51"/>
      <c r="B460" s="45"/>
      <c r="C460" s="45"/>
      <c r="D460" s="48"/>
      <c r="E460" s="45"/>
      <c r="F460" s="45"/>
      <c r="G460" s="45"/>
      <c r="H460" s="45"/>
      <c r="I460" s="45"/>
      <c r="J460" s="45"/>
      <c r="K460" s="45"/>
      <c r="L460" s="45"/>
      <c r="M460" s="45"/>
      <c r="N460" s="45"/>
    </row>
    <row r="461" spans="1:14" s="47" customFormat="1" ht="34.950000000000003" customHeight="1" x14ac:dyDescent="0.45">
      <c r="A461" s="51"/>
      <c r="B461" s="45"/>
      <c r="C461" s="45"/>
      <c r="D461" s="48"/>
      <c r="E461" s="45"/>
      <c r="F461" s="45"/>
      <c r="G461" s="45"/>
      <c r="H461" s="45"/>
      <c r="I461" s="45"/>
      <c r="J461" s="45"/>
      <c r="K461" s="45"/>
      <c r="L461" s="45"/>
      <c r="M461" s="45"/>
      <c r="N461" s="45"/>
    </row>
    <row r="462" spans="1:14" s="47" customFormat="1" ht="34.950000000000003" customHeight="1" x14ac:dyDescent="0.45">
      <c r="A462" s="51"/>
      <c r="B462" s="45"/>
      <c r="C462" s="45"/>
      <c r="D462" s="48"/>
      <c r="E462" s="45"/>
      <c r="F462" s="45"/>
      <c r="G462" s="45"/>
      <c r="H462" s="45"/>
      <c r="I462" s="45"/>
      <c r="J462" s="45"/>
      <c r="K462" s="45"/>
      <c r="L462" s="45"/>
      <c r="M462" s="45"/>
      <c r="N462" s="45"/>
    </row>
    <row r="463" spans="1:14" s="47" customFormat="1" ht="34.950000000000003" customHeight="1" x14ac:dyDescent="0.45">
      <c r="A463" s="51"/>
      <c r="B463" s="45"/>
      <c r="C463" s="45"/>
      <c r="D463" s="48"/>
      <c r="E463" s="45"/>
      <c r="F463" s="45"/>
      <c r="G463" s="45"/>
      <c r="H463" s="45"/>
      <c r="I463" s="45"/>
      <c r="J463" s="45"/>
      <c r="K463" s="45"/>
      <c r="L463" s="45"/>
      <c r="M463" s="45"/>
      <c r="N463" s="45"/>
    </row>
    <row r="464" spans="1:14" s="47" customFormat="1" ht="34.950000000000003" customHeight="1" x14ac:dyDescent="0.45">
      <c r="A464" s="51"/>
      <c r="B464" s="45"/>
      <c r="C464" s="45"/>
      <c r="D464" s="48"/>
      <c r="E464" s="45"/>
      <c r="F464" s="45"/>
      <c r="G464" s="45"/>
      <c r="H464" s="45"/>
      <c r="I464" s="45"/>
      <c r="J464" s="45"/>
      <c r="K464" s="45"/>
      <c r="L464" s="45"/>
      <c r="M464" s="45"/>
      <c r="N464" s="45"/>
    </row>
    <row r="465" spans="1:14" s="47" customFormat="1" ht="34.950000000000003" customHeight="1" x14ac:dyDescent="0.45">
      <c r="A465" s="51"/>
      <c r="B465" s="45"/>
      <c r="C465" s="45"/>
      <c r="D465" s="48"/>
      <c r="E465" s="45"/>
      <c r="F465" s="45"/>
      <c r="G465" s="45"/>
      <c r="H465" s="45"/>
      <c r="I465" s="45"/>
      <c r="J465" s="45"/>
      <c r="K465" s="45"/>
      <c r="L465" s="45"/>
      <c r="M465" s="45"/>
      <c r="N465" s="45"/>
    </row>
    <row r="466" spans="1:14" s="47" customFormat="1" ht="34.950000000000003" customHeight="1" x14ac:dyDescent="0.45">
      <c r="A466" s="51"/>
      <c r="B466" s="45"/>
      <c r="C466" s="45"/>
      <c r="D466" s="48"/>
      <c r="E466" s="45"/>
      <c r="F466" s="45"/>
      <c r="G466" s="45"/>
      <c r="H466" s="45"/>
      <c r="I466" s="45"/>
      <c r="J466" s="45"/>
      <c r="K466" s="45"/>
      <c r="L466" s="45"/>
      <c r="M466" s="45"/>
      <c r="N466" s="45"/>
    </row>
    <row r="467" spans="1:14" s="47" customFormat="1" ht="34.950000000000003" customHeight="1" x14ac:dyDescent="0.45">
      <c r="A467" s="51"/>
      <c r="B467" s="45"/>
      <c r="C467" s="45"/>
      <c r="D467" s="48"/>
      <c r="E467" s="45"/>
      <c r="F467" s="45"/>
      <c r="G467" s="45"/>
      <c r="H467" s="45"/>
      <c r="I467" s="45"/>
      <c r="J467" s="45"/>
      <c r="K467" s="45"/>
      <c r="L467" s="45"/>
      <c r="M467" s="45"/>
      <c r="N467" s="45"/>
    </row>
    <row r="468" spans="1:14" s="47" customFormat="1" ht="34.950000000000003" customHeight="1" x14ac:dyDescent="0.45">
      <c r="A468" s="51"/>
      <c r="B468" s="45"/>
      <c r="C468" s="45"/>
      <c r="D468" s="48"/>
      <c r="E468" s="45"/>
      <c r="F468" s="45"/>
      <c r="G468" s="45"/>
      <c r="H468" s="45"/>
      <c r="I468" s="45"/>
      <c r="J468" s="45"/>
      <c r="K468" s="45"/>
      <c r="L468" s="45"/>
      <c r="M468" s="45"/>
      <c r="N468" s="45"/>
    </row>
    <row r="469" spans="1:14" s="47" customFormat="1" ht="34.950000000000003" customHeight="1" x14ac:dyDescent="0.45">
      <c r="A469" s="51"/>
      <c r="B469" s="45"/>
      <c r="C469" s="45"/>
      <c r="D469" s="48"/>
      <c r="E469" s="45"/>
      <c r="F469" s="45"/>
      <c r="G469" s="45"/>
      <c r="H469" s="45"/>
      <c r="I469" s="45"/>
      <c r="J469" s="45"/>
      <c r="K469" s="45"/>
      <c r="L469" s="45"/>
      <c r="M469" s="45"/>
      <c r="N469" s="45"/>
    </row>
    <row r="470" spans="1:14" s="47" customFormat="1" ht="34.950000000000003" customHeight="1" x14ac:dyDescent="0.45">
      <c r="A470" s="51"/>
      <c r="B470" s="45"/>
      <c r="C470" s="45"/>
      <c r="D470" s="48"/>
      <c r="E470" s="45"/>
      <c r="F470" s="45"/>
      <c r="G470" s="45"/>
      <c r="H470" s="45"/>
      <c r="I470" s="45"/>
      <c r="J470" s="45"/>
      <c r="K470" s="45"/>
      <c r="L470" s="45"/>
      <c r="M470" s="45"/>
      <c r="N470" s="45"/>
    </row>
    <row r="471" spans="1:14" s="47" customFormat="1" ht="34.950000000000003" customHeight="1" x14ac:dyDescent="0.45">
      <c r="A471" s="51"/>
      <c r="B471" s="45"/>
      <c r="C471" s="45"/>
      <c r="D471" s="48"/>
      <c r="E471" s="45"/>
      <c r="F471" s="45"/>
      <c r="G471" s="45"/>
      <c r="H471" s="45"/>
      <c r="I471" s="45"/>
      <c r="J471" s="45"/>
      <c r="K471" s="45"/>
      <c r="L471" s="45"/>
      <c r="M471" s="45"/>
      <c r="N471" s="45"/>
    </row>
    <row r="472" spans="1:14" s="47" customFormat="1" ht="34.950000000000003" customHeight="1" x14ac:dyDescent="0.45">
      <c r="A472" s="51"/>
      <c r="B472" s="45"/>
      <c r="C472" s="45"/>
      <c r="D472" s="48"/>
      <c r="E472" s="45"/>
      <c r="F472" s="45"/>
      <c r="G472" s="45"/>
      <c r="H472" s="45"/>
      <c r="I472" s="45"/>
      <c r="J472" s="45"/>
      <c r="K472" s="45"/>
      <c r="L472" s="45"/>
      <c r="M472" s="45"/>
      <c r="N472" s="45"/>
    </row>
    <row r="473" spans="1:14" s="47" customFormat="1" ht="34.950000000000003" customHeight="1" x14ac:dyDescent="0.45">
      <c r="A473" s="51"/>
      <c r="B473" s="45"/>
      <c r="C473" s="45"/>
      <c r="D473" s="48"/>
      <c r="E473" s="45"/>
      <c r="F473" s="45"/>
      <c r="G473" s="45"/>
      <c r="H473" s="45"/>
      <c r="I473" s="45"/>
      <c r="J473" s="45"/>
      <c r="K473" s="45"/>
      <c r="L473" s="45"/>
      <c r="M473" s="45"/>
      <c r="N473" s="45"/>
    </row>
    <row r="474" spans="1:14" s="47" customFormat="1" ht="34.950000000000003" customHeight="1" x14ac:dyDescent="0.45">
      <c r="A474" s="51"/>
      <c r="B474" s="45"/>
      <c r="C474" s="45"/>
      <c r="D474" s="48"/>
      <c r="E474" s="45"/>
      <c r="F474" s="45"/>
      <c r="G474" s="45"/>
      <c r="H474" s="45"/>
      <c r="I474" s="45"/>
      <c r="J474" s="45"/>
      <c r="K474" s="45"/>
      <c r="L474" s="45"/>
      <c r="M474" s="45"/>
      <c r="N474" s="45"/>
    </row>
    <row r="475" spans="1:14" s="47" customFormat="1" ht="34.950000000000003" customHeight="1" x14ac:dyDescent="0.45">
      <c r="A475" s="51"/>
      <c r="B475" s="45"/>
      <c r="C475" s="45"/>
      <c r="D475" s="48"/>
      <c r="E475" s="45"/>
      <c r="F475" s="45"/>
      <c r="G475" s="45"/>
      <c r="H475" s="45"/>
      <c r="I475" s="45"/>
      <c r="J475" s="45"/>
      <c r="K475" s="45"/>
      <c r="L475" s="45"/>
      <c r="M475" s="45"/>
      <c r="N475" s="45"/>
    </row>
    <row r="476" spans="1:14" s="47" customFormat="1" ht="34.950000000000003" customHeight="1" x14ac:dyDescent="0.45">
      <c r="A476" s="51"/>
      <c r="B476" s="45"/>
      <c r="C476" s="45"/>
      <c r="D476" s="48"/>
      <c r="E476" s="45"/>
      <c r="F476" s="45"/>
      <c r="G476" s="45"/>
      <c r="H476" s="45"/>
      <c r="I476" s="45"/>
      <c r="J476" s="45"/>
      <c r="K476" s="45"/>
      <c r="L476" s="45"/>
      <c r="M476" s="45"/>
      <c r="N476" s="45"/>
    </row>
    <row r="477" spans="1:14" s="47" customFormat="1" ht="34.950000000000003" customHeight="1" x14ac:dyDescent="0.45">
      <c r="A477" s="51"/>
      <c r="B477" s="45"/>
      <c r="C477" s="45"/>
      <c r="D477" s="48"/>
      <c r="E477" s="45"/>
      <c r="F477" s="45"/>
      <c r="G477" s="45"/>
      <c r="H477" s="45"/>
      <c r="I477" s="45"/>
      <c r="J477" s="45"/>
      <c r="K477" s="45"/>
      <c r="L477" s="45"/>
      <c r="M477" s="45"/>
      <c r="N477" s="45"/>
    </row>
    <row r="478" spans="1:14" s="47" customFormat="1" ht="34.950000000000003" customHeight="1" x14ac:dyDescent="0.45">
      <c r="A478" s="51"/>
      <c r="B478" s="45"/>
      <c r="C478" s="45"/>
      <c r="D478" s="48"/>
      <c r="E478" s="45"/>
      <c r="F478" s="45"/>
      <c r="G478" s="45"/>
      <c r="H478" s="45"/>
      <c r="I478" s="45"/>
      <c r="J478" s="45"/>
      <c r="K478" s="45"/>
      <c r="L478" s="45"/>
      <c r="M478" s="45"/>
      <c r="N478" s="45"/>
    </row>
    <row r="479" spans="1:14" s="47" customFormat="1" ht="34.950000000000003" customHeight="1" x14ac:dyDescent="0.45">
      <c r="A479" s="51"/>
      <c r="B479" s="45"/>
      <c r="C479" s="45"/>
      <c r="D479" s="48"/>
      <c r="E479" s="45"/>
      <c r="F479" s="45"/>
      <c r="G479" s="45"/>
      <c r="H479" s="45"/>
      <c r="I479" s="45"/>
      <c r="J479" s="45"/>
      <c r="K479" s="45"/>
      <c r="L479" s="45"/>
      <c r="M479" s="45"/>
      <c r="N479" s="45"/>
    </row>
    <row r="480" spans="1:14" s="47" customFormat="1" ht="34.950000000000003" customHeight="1" x14ac:dyDescent="0.45">
      <c r="A480" s="51"/>
      <c r="B480" s="45"/>
      <c r="C480" s="45"/>
      <c r="D480" s="48"/>
      <c r="E480" s="45"/>
      <c r="F480" s="45"/>
      <c r="G480" s="45"/>
      <c r="H480" s="45"/>
      <c r="I480" s="45"/>
      <c r="J480" s="45"/>
      <c r="K480" s="45"/>
      <c r="L480" s="45"/>
      <c r="M480" s="45"/>
      <c r="N480" s="45"/>
    </row>
    <row r="481" spans="1:14" s="47" customFormat="1" ht="34.950000000000003" customHeight="1" x14ac:dyDescent="0.45">
      <c r="A481" s="51"/>
      <c r="B481" s="45"/>
      <c r="C481" s="45"/>
      <c r="D481" s="48"/>
      <c r="E481" s="45"/>
      <c r="F481" s="45"/>
      <c r="G481" s="45"/>
      <c r="H481" s="45"/>
      <c r="I481" s="45"/>
      <c r="J481" s="45"/>
      <c r="K481" s="45"/>
      <c r="L481" s="45"/>
      <c r="M481" s="45"/>
      <c r="N481" s="45"/>
    </row>
    <row r="482" spans="1:14" s="47" customFormat="1" ht="34.950000000000003" customHeight="1" x14ac:dyDescent="0.45">
      <c r="A482" s="51"/>
      <c r="B482" s="45"/>
      <c r="C482" s="45"/>
      <c r="D482" s="48"/>
      <c r="E482" s="45"/>
      <c r="F482" s="45"/>
      <c r="G482" s="45"/>
      <c r="H482" s="45"/>
      <c r="I482" s="45"/>
      <c r="J482" s="45"/>
      <c r="K482" s="45"/>
      <c r="L482" s="45"/>
      <c r="M482" s="45"/>
      <c r="N482" s="45"/>
    </row>
    <row r="483" spans="1:14" s="47" customFormat="1" ht="34.950000000000003" customHeight="1" x14ac:dyDescent="0.45">
      <c r="A483" s="51"/>
      <c r="B483" s="45"/>
      <c r="C483" s="45"/>
      <c r="D483" s="48"/>
      <c r="E483" s="45"/>
      <c r="F483" s="45"/>
      <c r="G483" s="45"/>
      <c r="H483" s="45"/>
      <c r="I483" s="45"/>
      <c r="J483" s="45"/>
      <c r="K483" s="45"/>
      <c r="L483" s="45"/>
      <c r="M483" s="45"/>
      <c r="N483" s="45"/>
    </row>
    <row r="484" spans="1:14" s="47" customFormat="1" ht="34.950000000000003" customHeight="1" x14ac:dyDescent="0.45">
      <c r="A484" s="51"/>
      <c r="B484" s="45"/>
      <c r="C484" s="45"/>
      <c r="D484" s="48"/>
      <c r="E484" s="45"/>
      <c r="F484" s="45"/>
      <c r="G484" s="45"/>
      <c r="H484" s="45"/>
      <c r="I484" s="45"/>
      <c r="J484" s="45"/>
      <c r="K484" s="45"/>
      <c r="L484" s="45"/>
      <c r="M484" s="45"/>
      <c r="N484" s="45"/>
    </row>
    <row r="485" spans="1:14" s="47" customFormat="1" ht="34.950000000000003" customHeight="1" x14ac:dyDescent="0.45">
      <c r="A485" s="51"/>
      <c r="B485" s="45"/>
      <c r="C485" s="45"/>
      <c r="D485" s="48"/>
      <c r="E485" s="45"/>
      <c r="F485" s="45"/>
      <c r="G485" s="45"/>
      <c r="H485" s="45"/>
      <c r="I485" s="45"/>
      <c r="J485" s="45"/>
      <c r="K485" s="45"/>
      <c r="L485" s="45"/>
      <c r="M485" s="45"/>
      <c r="N485" s="45"/>
    </row>
    <row r="486" spans="1:14" s="47" customFormat="1" ht="34.950000000000003" customHeight="1" x14ac:dyDescent="0.45">
      <c r="A486" s="51"/>
      <c r="B486" s="45"/>
      <c r="C486" s="45"/>
      <c r="D486" s="48"/>
      <c r="E486" s="45"/>
      <c r="F486" s="45"/>
      <c r="G486" s="45"/>
      <c r="H486" s="45"/>
      <c r="I486" s="45"/>
      <c r="J486" s="45"/>
      <c r="K486" s="45"/>
      <c r="L486" s="45"/>
      <c r="M486" s="45"/>
      <c r="N486" s="45"/>
    </row>
    <row r="487" spans="1:14" s="47" customFormat="1" ht="34.950000000000003" customHeight="1" x14ac:dyDescent="0.45">
      <c r="A487" s="51"/>
      <c r="B487" s="45"/>
      <c r="C487" s="45"/>
      <c r="D487" s="48"/>
      <c r="E487" s="45"/>
      <c r="F487" s="45"/>
      <c r="G487" s="45"/>
      <c r="H487" s="45"/>
      <c r="I487" s="45"/>
      <c r="J487" s="45"/>
      <c r="K487" s="45"/>
      <c r="L487" s="45"/>
      <c r="M487" s="45"/>
      <c r="N487" s="45"/>
    </row>
    <row r="488" spans="1:14" s="47" customFormat="1" ht="34.950000000000003" customHeight="1" x14ac:dyDescent="0.45">
      <c r="A488" s="51"/>
      <c r="B488" s="45"/>
      <c r="C488" s="45"/>
      <c r="D488" s="48"/>
      <c r="E488" s="45"/>
      <c r="F488" s="45"/>
      <c r="G488" s="45"/>
      <c r="H488" s="45"/>
      <c r="I488" s="45"/>
      <c r="J488" s="45"/>
      <c r="K488" s="45"/>
      <c r="L488" s="45"/>
      <c r="M488" s="45"/>
      <c r="N488" s="45"/>
    </row>
    <row r="489" spans="1:14" s="47" customFormat="1" ht="34.950000000000003" customHeight="1" x14ac:dyDescent="0.45">
      <c r="A489" s="51"/>
      <c r="B489" s="45"/>
      <c r="C489" s="45"/>
      <c r="D489" s="48"/>
      <c r="E489" s="45"/>
      <c r="F489" s="45"/>
      <c r="G489" s="45"/>
      <c r="H489" s="45"/>
      <c r="I489" s="45"/>
      <c r="J489" s="45"/>
      <c r="K489" s="45"/>
      <c r="L489" s="45"/>
      <c r="M489" s="45"/>
      <c r="N489" s="45"/>
    </row>
    <row r="490" spans="1:14" s="47" customFormat="1" ht="34.950000000000003" customHeight="1" x14ac:dyDescent="0.45">
      <c r="A490" s="51"/>
      <c r="B490" s="45"/>
      <c r="C490" s="45"/>
      <c r="D490" s="48"/>
      <c r="E490" s="45"/>
      <c r="F490" s="45"/>
      <c r="G490" s="45"/>
      <c r="H490" s="45"/>
      <c r="I490" s="45"/>
      <c r="J490" s="45"/>
      <c r="K490" s="45"/>
      <c r="L490" s="45"/>
      <c r="M490" s="45"/>
      <c r="N490" s="45"/>
    </row>
    <row r="491" spans="1:14" s="47" customFormat="1" ht="34.950000000000003" customHeight="1" x14ac:dyDescent="0.45">
      <c r="A491" s="51"/>
      <c r="B491" s="45"/>
      <c r="C491" s="45"/>
      <c r="D491" s="48"/>
      <c r="E491" s="45"/>
      <c r="F491" s="45"/>
      <c r="G491" s="45"/>
      <c r="H491" s="45"/>
      <c r="I491" s="45"/>
      <c r="J491" s="45"/>
      <c r="K491" s="45"/>
      <c r="L491" s="45"/>
      <c r="M491" s="45"/>
      <c r="N491" s="45"/>
    </row>
    <row r="492" spans="1:14" s="47" customFormat="1" ht="34.950000000000003" customHeight="1" x14ac:dyDescent="0.45">
      <c r="A492" s="51"/>
      <c r="B492" s="45"/>
      <c r="C492" s="45"/>
      <c r="D492" s="48"/>
      <c r="E492" s="45"/>
      <c r="F492" s="45"/>
      <c r="G492" s="45"/>
      <c r="H492" s="45"/>
      <c r="I492" s="45"/>
      <c r="J492" s="45"/>
      <c r="K492" s="45"/>
      <c r="L492" s="45"/>
      <c r="M492" s="45"/>
      <c r="N492" s="45"/>
    </row>
    <row r="493" spans="1:14" s="47" customFormat="1" ht="34.950000000000003" customHeight="1" x14ac:dyDescent="0.45">
      <c r="A493" s="51"/>
      <c r="B493" s="45"/>
      <c r="C493" s="45"/>
      <c r="D493" s="48"/>
      <c r="E493" s="45"/>
      <c r="F493" s="45"/>
      <c r="G493" s="45"/>
      <c r="H493" s="45"/>
      <c r="I493" s="45"/>
      <c r="J493" s="45"/>
      <c r="K493" s="45"/>
      <c r="L493" s="45"/>
      <c r="M493" s="45"/>
      <c r="N493" s="45"/>
    </row>
    <row r="494" spans="1:14" s="47" customFormat="1" ht="34.950000000000003" customHeight="1" x14ac:dyDescent="0.45">
      <c r="A494" s="51"/>
      <c r="B494" s="45"/>
      <c r="C494" s="45"/>
      <c r="D494" s="48"/>
      <c r="E494" s="45"/>
      <c r="F494" s="45"/>
      <c r="G494" s="45"/>
      <c r="H494" s="45"/>
      <c r="I494" s="45"/>
      <c r="J494" s="45"/>
      <c r="K494" s="45"/>
      <c r="L494" s="45"/>
      <c r="M494" s="45"/>
      <c r="N494" s="45"/>
    </row>
    <row r="495" spans="1:14" s="47" customFormat="1" ht="34.950000000000003" customHeight="1" x14ac:dyDescent="0.45">
      <c r="A495" s="51"/>
      <c r="B495" s="45"/>
      <c r="C495" s="45"/>
      <c r="D495" s="48"/>
      <c r="E495" s="45"/>
      <c r="F495" s="45"/>
      <c r="G495" s="45"/>
      <c r="H495" s="45"/>
      <c r="I495" s="45"/>
      <c r="J495" s="45"/>
      <c r="K495" s="45"/>
      <c r="L495" s="45"/>
      <c r="M495" s="45"/>
      <c r="N495" s="45"/>
    </row>
    <row r="496" spans="1:14" s="47" customFormat="1" ht="34.950000000000003" customHeight="1" x14ac:dyDescent="0.45">
      <c r="A496" s="51"/>
      <c r="B496" s="45"/>
      <c r="C496" s="45"/>
      <c r="D496" s="48"/>
      <c r="E496" s="45"/>
      <c r="F496" s="45"/>
      <c r="G496" s="45"/>
      <c r="H496" s="45"/>
      <c r="I496" s="45"/>
      <c r="J496" s="45"/>
      <c r="K496" s="45"/>
      <c r="L496" s="45"/>
      <c r="M496" s="45"/>
      <c r="N496" s="45"/>
    </row>
    <row r="497" spans="1:14" s="47" customFormat="1" ht="34.950000000000003" customHeight="1" x14ac:dyDescent="0.45">
      <c r="A497" s="51"/>
      <c r="B497" s="45"/>
      <c r="C497" s="45"/>
      <c r="D497" s="48"/>
      <c r="E497" s="45"/>
      <c r="F497" s="45"/>
      <c r="G497" s="45"/>
      <c r="H497" s="45"/>
      <c r="I497" s="45"/>
      <c r="J497" s="45"/>
      <c r="K497" s="45"/>
      <c r="L497" s="45"/>
      <c r="M497" s="45"/>
      <c r="N497" s="45"/>
    </row>
    <row r="498" spans="1:14" s="47" customFormat="1" ht="34.950000000000003" customHeight="1" x14ac:dyDescent="0.45">
      <c r="A498" s="51"/>
      <c r="B498" s="45"/>
      <c r="C498" s="45"/>
      <c r="D498" s="48"/>
      <c r="E498" s="45"/>
      <c r="F498" s="45"/>
      <c r="G498" s="45"/>
      <c r="H498" s="45"/>
      <c r="I498" s="45"/>
      <c r="J498" s="45"/>
      <c r="K498" s="45"/>
      <c r="L498" s="45"/>
      <c r="M498" s="45"/>
      <c r="N498" s="45"/>
    </row>
    <row r="499" spans="1:14" s="47" customFormat="1" ht="34.950000000000003" customHeight="1" x14ac:dyDescent="0.45">
      <c r="A499" s="51"/>
      <c r="B499" s="45"/>
      <c r="C499" s="45"/>
      <c r="D499" s="48"/>
      <c r="E499" s="45"/>
      <c r="F499" s="45"/>
      <c r="G499" s="45"/>
      <c r="H499" s="45"/>
      <c r="I499" s="45"/>
      <c r="J499" s="45"/>
      <c r="K499" s="45"/>
      <c r="L499" s="45"/>
      <c r="M499" s="45"/>
      <c r="N499" s="45"/>
    </row>
    <row r="500" spans="1:14" s="47" customFormat="1" ht="34.950000000000003" customHeight="1" x14ac:dyDescent="0.45">
      <c r="A500" s="51"/>
      <c r="B500" s="45"/>
      <c r="C500" s="45"/>
      <c r="D500" s="48"/>
      <c r="E500" s="45"/>
      <c r="F500" s="45"/>
      <c r="G500" s="45"/>
      <c r="H500" s="45"/>
      <c r="I500" s="45"/>
      <c r="J500" s="45"/>
      <c r="K500" s="45"/>
      <c r="L500" s="45"/>
      <c r="M500" s="45"/>
      <c r="N500" s="45"/>
    </row>
    <row r="501" spans="1:14" s="47" customFormat="1" ht="34.950000000000003" customHeight="1" x14ac:dyDescent="0.45">
      <c r="A501" s="51"/>
      <c r="B501" s="45"/>
      <c r="C501" s="45"/>
      <c r="D501" s="48"/>
      <c r="E501" s="45"/>
      <c r="F501" s="45"/>
      <c r="G501" s="45"/>
      <c r="H501" s="45"/>
      <c r="I501" s="45"/>
      <c r="J501" s="45"/>
      <c r="K501" s="45"/>
      <c r="L501" s="45"/>
      <c r="M501" s="45"/>
      <c r="N501" s="45"/>
    </row>
    <row r="502" spans="1:14" s="47" customFormat="1" ht="34.950000000000003" customHeight="1" x14ac:dyDescent="0.45">
      <c r="A502" s="51"/>
      <c r="B502" s="45"/>
      <c r="C502" s="45"/>
      <c r="D502" s="48"/>
      <c r="E502" s="45"/>
      <c r="F502" s="45"/>
      <c r="G502" s="45"/>
      <c r="H502" s="45"/>
      <c r="I502" s="45"/>
      <c r="J502" s="45"/>
      <c r="K502" s="45"/>
      <c r="L502" s="45"/>
      <c r="M502" s="45"/>
      <c r="N502" s="45"/>
    </row>
    <row r="503" spans="1:14" s="47" customFormat="1" ht="34.950000000000003" customHeight="1" x14ac:dyDescent="0.45">
      <c r="A503" s="51"/>
      <c r="B503" s="45"/>
      <c r="C503" s="45"/>
      <c r="D503" s="48"/>
      <c r="E503" s="45"/>
      <c r="F503" s="45"/>
      <c r="G503" s="45"/>
      <c r="H503" s="45"/>
      <c r="I503" s="45"/>
      <c r="J503" s="45"/>
      <c r="K503" s="45"/>
      <c r="L503" s="45"/>
      <c r="M503" s="45"/>
      <c r="N503" s="45"/>
    </row>
    <row r="504" spans="1:14" s="47" customFormat="1" ht="34.950000000000003" customHeight="1" x14ac:dyDescent="0.45">
      <c r="A504" s="51"/>
      <c r="B504" s="45"/>
      <c r="C504" s="45"/>
      <c r="D504" s="48"/>
      <c r="E504" s="45"/>
      <c r="F504" s="45"/>
      <c r="G504" s="45"/>
      <c r="H504" s="45"/>
      <c r="I504" s="45"/>
      <c r="J504" s="45"/>
      <c r="K504" s="45"/>
      <c r="L504" s="45"/>
      <c r="M504" s="45"/>
      <c r="N504" s="45"/>
    </row>
    <row r="505" spans="1:14" s="47" customFormat="1" ht="34.950000000000003" customHeight="1" x14ac:dyDescent="0.45">
      <c r="A505" s="51"/>
      <c r="B505" s="49"/>
      <c r="C505" s="49"/>
      <c r="D505" s="48"/>
      <c r="E505" s="45"/>
      <c r="F505" s="45"/>
      <c r="G505" s="45"/>
      <c r="H505" s="45"/>
      <c r="I505" s="45"/>
      <c r="J505" s="45"/>
      <c r="K505" s="45"/>
      <c r="L505" s="45"/>
      <c r="M505" s="45"/>
      <c r="N505" s="45"/>
    </row>
    <row r="506" spans="1:14" s="47" customFormat="1" ht="34.950000000000003" customHeight="1" x14ac:dyDescent="0.45">
      <c r="A506" s="51"/>
      <c r="B506" s="49"/>
      <c r="C506" s="49"/>
      <c r="D506" s="48"/>
      <c r="E506" s="45"/>
      <c r="F506" s="45"/>
      <c r="G506" s="45"/>
      <c r="H506" s="45"/>
      <c r="I506" s="45"/>
      <c r="J506" s="45"/>
      <c r="K506" s="45"/>
      <c r="L506" s="45"/>
      <c r="M506" s="45"/>
      <c r="N506" s="45"/>
    </row>
    <row r="507" spans="1:14" s="47" customFormat="1" ht="34.950000000000003" customHeight="1" x14ac:dyDescent="0.45">
      <c r="A507" s="51"/>
      <c r="B507" s="49"/>
      <c r="C507" s="49"/>
      <c r="D507" s="48"/>
      <c r="E507" s="45"/>
      <c r="F507" s="45"/>
      <c r="G507" s="45"/>
      <c r="H507" s="45"/>
      <c r="I507" s="45"/>
      <c r="J507" s="45"/>
      <c r="K507" s="45"/>
      <c r="L507" s="45"/>
      <c r="M507" s="45"/>
      <c r="N507" s="45"/>
    </row>
    <row r="508" spans="1:14" s="47" customFormat="1" ht="34.950000000000003" customHeight="1" x14ac:dyDescent="0.45">
      <c r="A508" s="51"/>
      <c r="B508" s="49"/>
      <c r="C508" s="49"/>
      <c r="D508" s="48"/>
      <c r="E508" s="45"/>
      <c r="F508" s="45"/>
      <c r="G508" s="45"/>
      <c r="H508" s="45"/>
      <c r="I508" s="45"/>
      <c r="J508" s="45"/>
      <c r="K508" s="45"/>
      <c r="L508" s="45"/>
      <c r="M508" s="45"/>
      <c r="N508" s="45"/>
    </row>
    <row r="509" spans="1:14" s="47" customFormat="1" ht="34.950000000000003" customHeight="1" x14ac:dyDescent="0.45">
      <c r="A509" s="51"/>
      <c r="B509" s="49"/>
      <c r="C509" s="49"/>
      <c r="D509" s="48"/>
      <c r="E509" s="45"/>
      <c r="F509" s="45"/>
      <c r="G509" s="45"/>
      <c r="H509" s="45"/>
      <c r="I509" s="45"/>
      <c r="J509" s="45"/>
      <c r="K509" s="45"/>
      <c r="L509" s="45"/>
      <c r="M509" s="45"/>
      <c r="N509" s="45"/>
    </row>
    <row r="510" spans="1:14" s="47" customFormat="1" ht="34.950000000000003" customHeight="1" x14ac:dyDescent="0.45">
      <c r="A510" s="51"/>
      <c r="B510" s="49"/>
      <c r="C510" s="49"/>
      <c r="D510" s="48"/>
      <c r="E510" s="45"/>
      <c r="F510" s="45"/>
      <c r="G510" s="45"/>
      <c r="H510" s="45"/>
      <c r="I510" s="45"/>
      <c r="J510" s="45"/>
      <c r="K510" s="45"/>
      <c r="L510" s="45"/>
      <c r="M510" s="45"/>
      <c r="N510" s="45"/>
    </row>
    <row r="511" spans="1:14" s="47" customFormat="1" ht="34.950000000000003" customHeight="1" x14ac:dyDescent="0.45">
      <c r="A511" s="51"/>
      <c r="B511" s="49"/>
      <c r="C511" s="49"/>
      <c r="D511" s="48"/>
      <c r="E511" s="45"/>
      <c r="F511" s="45"/>
      <c r="G511" s="45"/>
      <c r="H511" s="45"/>
      <c r="I511" s="45"/>
      <c r="J511" s="45"/>
      <c r="K511" s="45"/>
      <c r="L511" s="45"/>
      <c r="M511" s="45"/>
      <c r="N511" s="45"/>
    </row>
    <row r="512" spans="1:14" s="47" customFormat="1" ht="34.950000000000003" customHeight="1" x14ac:dyDescent="0.45">
      <c r="A512" s="53"/>
      <c r="B512" s="49"/>
      <c r="C512" s="49"/>
      <c r="D512" s="50"/>
      <c r="E512" s="49"/>
      <c r="F512" s="49"/>
      <c r="G512" s="49"/>
      <c r="H512" s="49"/>
      <c r="I512" s="49"/>
      <c r="J512" s="49"/>
      <c r="K512" s="49"/>
      <c r="L512" s="49"/>
      <c r="M512" s="49"/>
      <c r="N512" s="49"/>
    </row>
    <row r="513" spans="1:14" ht="34.950000000000003" customHeight="1" x14ac:dyDescent="0.45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</row>
    <row r="514" spans="1:14" ht="34.950000000000003" customHeight="1" x14ac:dyDescent="0.45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</row>
    <row r="515" spans="1:14" ht="34.950000000000003" customHeight="1" x14ac:dyDescent="0.4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</row>
    <row r="516" spans="1:14" ht="34.950000000000003" customHeight="1" x14ac:dyDescent="0.45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</row>
    <row r="517" spans="1:14" ht="34.950000000000003" customHeight="1" x14ac:dyDescent="0.45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</row>
    <row r="518" spans="1:14" ht="34.950000000000003" customHeight="1" x14ac:dyDescent="0.45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</row>
    <row r="519" spans="1:14" ht="34.950000000000003" customHeight="1" x14ac:dyDescent="0.45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</row>
    <row r="520" spans="1:14" ht="34.950000000000003" customHeight="1" x14ac:dyDescent="0.45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</row>
    <row r="521" spans="1:14" ht="34.950000000000003" customHeight="1" x14ac:dyDescent="0.45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</row>
    <row r="522" spans="1:14" ht="34.950000000000003" customHeight="1" x14ac:dyDescent="0.45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</row>
    <row r="523" spans="1:14" ht="34.950000000000003" customHeight="1" x14ac:dyDescent="0.45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</row>
    <row r="524" spans="1:14" ht="34.950000000000003" customHeight="1" x14ac:dyDescent="0.45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</row>
    <row r="525" spans="1:14" ht="34.950000000000003" customHeight="1" x14ac:dyDescent="0.4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</row>
    <row r="526" spans="1:14" ht="34.950000000000003" customHeight="1" x14ac:dyDescent="0.45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</row>
  </sheetData>
  <autoFilter ref="A5:N513" xr:uid="{00000000-0001-0000-0000-000000000000}"/>
  <mergeCells count="20">
    <mergeCell ref="A4:A5"/>
    <mergeCell ref="B2:C2"/>
    <mergeCell ref="A3:C3"/>
    <mergeCell ref="D1:K1"/>
    <mergeCell ref="D2:K2"/>
    <mergeCell ref="D3:K3"/>
    <mergeCell ref="A1:C1"/>
    <mergeCell ref="E4:E5"/>
    <mergeCell ref="B4:B5"/>
    <mergeCell ref="C4:C5"/>
    <mergeCell ref="D4:D5"/>
    <mergeCell ref="G4:G5"/>
    <mergeCell ref="M4:M5"/>
    <mergeCell ref="F4:F5"/>
    <mergeCell ref="H4:K4"/>
    <mergeCell ref="L1:N1"/>
    <mergeCell ref="L2:N2"/>
    <mergeCell ref="L3:N3"/>
    <mergeCell ref="L4:L5"/>
    <mergeCell ref="N4:N5"/>
  </mergeCells>
  <phoneticPr fontId="1" type="noConversion"/>
  <printOptions horizontalCentered="1"/>
  <pageMargins left="0.39370078740157483" right="0.39370078740157483" top="0.39370078740157483" bottom="0.47244094488188976" header="0.31496062992125984" footer="0.31496062992125984"/>
  <pageSetup paperSize="8" scale="54" fitToHeight="0" orientation="landscape" r:id="rId1"/>
  <headerFooter>
    <oddFooter>&amp;L&amp;1#&amp;"Calibri,Regular"&amp;8&amp;K000000Sensitivity: LNT Construction Internal Use&amp;CPage &amp;P-1 of &amp;N-1&amp;R&amp;8Designed by: GP</oddFooter>
  </headerFooter>
  <rowBreaks count="10" manualBreakCount="10">
    <brk id="116" max="13" man="1"/>
    <brk id="188" max="13" man="1"/>
    <brk id="223" max="13" man="1"/>
    <brk id="259" max="13" man="1"/>
    <brk id="295" max="13" man="1"/>
    <brk id="329" max="13" man="1"/>
    <brk id="367" max="13" man="1"/>
    <brk id="407" max="13" man="1"/>
    <brk id="440" max="13" man="1"/>
    <brk id="482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Cover</vt:lpstr>
      <vt:lpstr>IO List</vt:lpstr>
      <vt:lpstr>Cover!Print_Area</vt:lpstr>
      <vt:lpstr>'IO List'!Print_Area</vt:lpstr>
      <vt:lpstr>'IO List'!Print_Titles</vt:lpstr>
    </vt:vector>
  </TitlesOfParts>
  <Company>LNT ECC DIV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Guruprasad</dc:creator>
  <cp:lastModifiedBy>MOHD ZAID KHAN</cp:lastModifiedBy>
  <cp:lastPrinted>2026-04-25T08:52:55Z</cp:lastPrinted>
  <dcterms:created xsi:type="dcterms:W3CDTF">2013-11-16T05:58:01Z</dcterms:created>
  <dcterms:modified xsi:type="dcterms:W3CDTF">2026-04-25T09:32:28Z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iteId">
    <vt:lpwstr>264b9899-fe1b-430b-9509-2154878d5774</vt:lpwstr>
  </property>
  <property fmtid="{D5CDD505-2E9C-101B-9397-08002B2CF9AE}" pid="4" name="MSIP_Label_ac52bb50-aef2-4dc8-bb7f-e0da22648362_Owner">
    <vt:lpwstr>G-PRASAD@lntecc.com</vt:lpwstr>
  </property>
  <property fmtid="{D5CDD505-2E9C-101B-9397-08002B2CF9AE}" pid="5" name="MSIP_Label_ac52bb50-aef2-4dc8-bb7f-e0da22648362_SetDate">
    <vt:lpwstr>2020-12-29T09:30:03.2378285Z</vt:lpwstr>
  </property>
  <property fmtid="{D5CDD505-2E9C-101B-9397-08002B2CF9AE}" pid="6" name="MSIP_Label_ac52bb50-aef2-4dc8-bb7f-e0da22648362_Name">
    <vt:lpwstr>LTC Internal Use</vt:lpwstr>
  </property>
  <property fmtid="{D5CDD505-2E9C-101B-9397-08002B2CF9AE}" pid="7" name="MSIP_Label_ac52bb50-aef2-4dc8-bb7f-e0da22648362_Application">
    <vt:lpwstr>Microsoft Azure Information Protection</vt:lpwstr>
  </property>
  <property fmtid="{D5CDD505-2E9C-101B-9397-08002B2CF9AE}" pid="8" name="MSIP_Label_ac52bb50-aef2-4dc8-bb7f-e0da22648362_ActionId">
    <vt:lpwstr>37a8d053-f91a-4f5c-861d-54408b3f887d</vt:lpwstr>
  </property>
  <property fmtid="{D5CDD505-2E9C-101B-9397-08002B2CF9AE}" pid="9" name="MSIP_Label_ac52bb50-aef2-4dc8-bb7f-e0da22648362_Extended_MSFT_Method">
    <vt:lpwstr>Automatic</vt:lpwstr>
  </property>
  <property fmtid="{D5CDD505-2E9C-101B-9397-08002B2CF9AE}" pid="10" name="Sensitivity">
    <vt:lpwstr>LTC Internal Use</vt:lpwstr>
  </property>
</Properties>
</file>